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ůj plán" sheetId="1" state="visible" r:id="rId3"/>
    <sheet name="Dvojčata" sheetId="2" state="visible" r:id="rId4"/>
    <sheet name="Deník nákupů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Stejný index i správce. Dividendy se automaticky reinvestují.</t>
        </r>
      </text>
    </comment>
    <comment ref="D6" authorId="0">
      <text>
        <r>
          <rPr>
            <sz val="10"/>
            <rFont val="Arial"/>
            <family val="2"/>
          </rPr>
          <t xml:space="preserve">Největší evropské S&amp;P 500 ETF. Na Xetře v EUR jako SXR8.</t>
        </r>
      </text>
    </comment>
    <comment ref="D7" authorId="0">
      <text>
        <r>
          <rPr>
            <sz val="10"/>
            <rFont val="Arial"/>
            <family val="2"/>
          </rPr>
          <t xml:space="preserve">Evropská verze od stejného správce (BlackRock).</t>
        </r>
      </text>
    </comment>
    <comment ref="D8" authorId="0">
      <text>
        <r>
          <rPr>
            <sz val="10"/>
            <rFont val="Arial"/>
            <family val="2"/>
          </rPr>
          <t xml:space="preserve">Pokrývá asi 85 % amerického trhu, bez nejmenších firem.</t>
        </r>
      </text>
    </comment>
    <comment ref="D9" authorId="0">
      <text>
        <r>
          <rPr>
            <sz val="10"/>
            <rFont val="Arial"/>
            <family val="2"/>
          </rPr>
          <t xml:space="preserve">Poplatek snížen z 0,19 % na 0,14 % od 28. 7. 2026.</t>
        </r>
      </text>
    </comment>
    <comment ref="D10" authorId="0">
      <text>
        <r>
          <rPr>
            <sz val="10"/>
            <rFont val="Arial"/>
            <family val="2"/>
          </rPr>
          <t xml:space="preserve">Jiný poskytovatel indexu (MSCI vs. FTSE), velmi podobné složení.</t>
        </r>
      </text>
    </comment>
    <comment ref="D11" authorId="0">
      <text>
        <r>
          <rPr>
            <sz val="10"/>
            <rFont val="Arial"/>
            <family val="2"/>
          </rPr>
          <t xml:space="preserve">Index MSCI místo FTSE a navíc i menší firmy (IMI). Složení zemí se mírně liší.</t>
        </r>
      </text>
    </comment>
    <comment ref="D12" authorId="0">
      <text>
        <r>
          <rPr>
            <sz val="10"/>
            <rFont val="Arial"/>
            <family val="2"/>
          </rPr>
          <t xml:space="preserve">Přesné dvojče SCHD v Evropě neexistuje. Tohle je nejbližší: jiný index, podobná filozofie.</t>
        </r>
      </text>
    </comment>
    <comment ref="D13" authorId="0">
      <text>
        <r>
          <rPr>
            <sz val="10"/>
            <rFont val="Arial"/>
            <family val="2"/>
          </rPr>
          <t xml:space="preserve">Jiný index, ale podobná filozofie: kvalitní firmy s rostoucí dividendou.</t>
        </r>
      </text>
    </comment>
    <comment ref="D14" authorId="0">
      <text>
        <r>
          <rPr>
            <sz val="10"/>
            <rFont val="Arial"/>
            <family val="2"/>
          </rPr>
          <t xml:space="preserve">Americké REITy s dividendovým výnosem nad 2 %.</t>
        </r>
      </text>
    </comment>
    <comment ref="D15" authorId="0">
      <text>
        <r>
          <rPr>
            <sz val="10"/>
            <rFont val="Arial"/>
            <family val="2"/>
          </rPr>
          <t xml:space="preserve">Jde o ETC (komoditní cenný papír), ne o UCITS fond, ale kryté fyzickým zlatem.</t>
        </r>
      </text>
    </comment>
    <comment ref="D16" authorId="0">
      <text>
        <r>
          <rPr>
            <sz val="10"/>
            <rFont val="Arial"/>
            <family val="2"/>
          </rPr>
          <t xml:space="preserve">Sleduje stejný dluhopisový index (Bloomberg US Aggregate).</t>
        </r>
      </text>
    </comment>
  </commentList>
</comments>
</file>

<file path=xl/sharedStrings.xml><?xml version="1.0" encoding="utf-8"?>
<sst xmlns="http://schemas.openxmlformats.org/spreadsheetml/2006/main" count="146" uniqueCount="115">
  <si>
    <t xml:space="preserve">Můj ETF plán</t>
  </si>
  <si>
    <t xml:space="preserve">BestBrookies · Startovací balíček ETF 2026 · Vyplňte žluté buňky, zbytek se dopočítá sám.</t>
  </si>
  <si>
    <t xml:space="preserve">VSTUPY</t>
  </si>
  <si>
    <t xml:space="preserve">Měsíční vklad</t>
  </si>
  <si>
    <t xml:space="preserve">Kolik budete investovat každý měsíc.</t>
  </si>
  <si>
    <t xml:space="preserve">Očekávaný výnos ročně (před poplatky)</t>
  </si>
  <si>
    <t xml:space="preserve">Předpoklad. S&amp;P 500 vydělal za 20 let cca 10 % ročně v USD, budoucnost může být horší.</t>
  </si>
  <si>
    <t xml:space="preserve">Poplatek vašeho ETF (TER)</t>
  </si>
  <si>
    <t xml:space="preserve">Např. VUAA / CSPX 0,07 %. Najdete v listu Dvojčata.</t>
  </si>
  <si>
    <t xml:space="preserve">Poplatek fondu pro srovnání</t>
  </si>
  <si>
    <t xml:space="preserve">Průměr 57 akciových fondů v ČR 1,98 % (Consequ 2022 dle E15). Zadejte poplatek svého fondu.</t>
  </si>
  <si>
    <t xml:space="preserve">Počet let</t>
  </si>
  <si>
    <t xml:space="preserve">Na jak dlouho investujete (1–40).</t>
  </si>
  <si>
    <t xml:space="preserve">Měsíční čistý výnos ETF</t>
  </si>
  <si>
    <t xml:space="preserve">Měsíční čistý výnos fondu</t>
  </si>
  <si>
    <t xml:space="preserve">VÝSLEDEK</t>
  </si>
  <si>
    <t xml:space="preserve">Vložíte celkem</t>
  </si>
  <si>
    <t xml:space="preserve">Hodnota s ETF</t>
  </si>
  <si>
    <t xml:space="preserve">Hodnota s fondem</t>
  </si>
  <si>
    <t xml:space="preserve">Poplatky vám ukousnou</t>
  </si>
  <si>
    <t xml:space="preserve">Rok</t>
  </si>
  <si>
    <t xml:space="preserve">Vloženo</t>
  </si>
  <si>
    <t xml:space="preserve">Ukousnuto poplatky</t>
  </si>
  <si>
    <t xml:space="preserve">Zelený řádek = váš zvolený počet let. Ilustrativní výpočet: konstantní výnos, vklad na začátku měsíce, bez daní a poplatků brokera. Není investiční doporučení.</t>
  </si>
  <si>
    <t xml:space="preserve">Překladač NYSE → Evropa</t>
  </si>
  <si>
    <t xml:space="preserve">Americká ETF drobný investor v EU nekoupí (PRIIPs). Dvojčata ověřena 2026-10-14, TER USA: Alpha Vantage 2026-10-09. Před nákupem si přečtěte KID.</t>
  </si>
  <si>
    <t xml:space="preserve">NYSE</t>
  </si>
  <si>
    <t xml:space="preserve">Co sleduje</t>
  </si>
  <si>
    <t xml:space="preserve">TER USA</t>
  </si>
  <si>
    <t xml:space="preserve">Evropské dvojče</t>
  </si>
  <si>
    <t xml:space="preserve">Ticker</t>
  </si>
  <si>
    <t xml:space="preserve">ISIN</t>
  </si>
  <si>
    <t xml:space="preserve">TER dvojčete</t>
  </si>
  <si>
    <t xml:space="preserve">Dividendy</t>
  </si>
  <si>
    <t xml:space="preserve">Shoda</t>
  </si>
  <si>
    <t xml:space="preserve">Zdroj</t>
  </si>
  <si>
    <t xml:space="preserve">VOO</t>
  </si>
  <si>
    <t xml:space="preserve">500 největších firem USA</t>
  </si>
  <si>
    <t xml:space="preserve">Vanguard S&amp;P 500 UCITS ETF (Acc)</t>
  </si>
  <si>
    <t xml:space="preserve">VUAA</t>
  </si>
  <si>
    <t xml:space="preserve">IE00BFMXXD54</t>
  </si>
  <si>
    <t xml:space="preserve">akumulační</t>
  </si>
  <si>
    <t xml:space="preserve">stejný index</t>
  </si>
  <si>
    <t xml:space="preserve">https://www.wallstreet-online.de/etf/a2pfn2-vanguard-s-p-500-ucits-etf-usd</t>
  </si>
  <si>
    <t xml:space="preserve">SPY</t>
  </si>
  <si>
    <t xml:space="preserve">iShares Core S&amp;P 500 UCITS ETF (Acc)</t>
  </si>
  <si>
    <t xml:space="preserve">CSPX / SXR8</t>
  </si>
  <si>
    <t xml:space="preserve">IE00B5BMR087</t>
  </si>
  <si>
    <t xml:space="preserve">https://etfstream.com/etf-screener/CSPX</t>
  </si>
  <si>
    <t xml:space="preserve">IVV</t>
  </si>
  <si>
    <t xml:space="preserve">VTI</t>
  </si>
  <si>
    <t xml:space="preserve">celý americký trh</t>
  </si>
  <si>
    <t xml:space="preserve">Invesco MSCI USA UCITS ETF (Acc)</t>
  </si>
  <si>
    <t xml:space="preserve">MXUS / SC0J</t>
  </si>
  <si>
    <t xml:space="preserve">IE00B60SX170</t>
  </si>
  <si>
    <t xml:space="preserve">nejbližší alternativa</t>
  </si>
  <si>
    <t xml:space="preserve">https://www.trackingdifferences.com/ETF/ISIN/IE00B60SX170</t>
  </si>
  <si>
    <t xml:space="preserve">VT</t>
  </si>
  <si>
    <t xml:space="preserve">celý svět jedním fondem</t>
  </si>
  <si>
    <t xml:space="preserve">Vanguard FTSE All-World UCITS ETF (Acc)</t>
  </si>
  <si>
    <t xml:space="preserve">VWCE</t>
  </si>
  <si>
    <t xml:space="preserve">IE00BK5BQT80</t>
  </si>
  <si>
    <t xml:space="preserve">https://etfexpress.com/2026/07/21/vanguard-reduces-fees-on-vanguard-ftse-all-world-ucits-etf/</t>
  </si>
  <si>
    <t xml:space="preserve">VEA</t>
  </si>
  <si>
    <t xml:space="preserve">vyspělé trhy mimo USA</t>
  </si>
  <si>
    <t xml:space="preserve">iShares MSCI World ex-USA UCITS ETF (Acc)</t>
  </si>
  <si>
    <t xml:space="preserve">IE000R4ZNTN3</t>
  </si>
  <si>
    <t xml:space="preserve">https://www.finanzen.net/etf/ishares-msci-world-ex-usa-etf-ie000r4zntn3</t>
  </si>
  <si>
    <t xml:space="preserve">VWO</t>
  </si>
  <si>
    <t xml:space="preserve">rozvíjející se trhy</t>
  </si>
  <si>
    <t xml:space="preserve">iShares Core MSCI EM IMI UCITS ETF (Acc)</t>
  </si>
  <si>
    <t xml:space="preserve">EIMI</t>
  </si>
  <si>
    <t xml:space="preserve">IE00BKM4GZ66</t>
  </si>
  <si>
    <t xml:space="preserve">https://www.finanzen.net/etf/ishares-core-msci-em-imi-etf-ie00bkm4gz66/xetra</t>
  </si>
  <si>
    <t xml:space="preserve">SCHD</t>
  </si>
  <si>
    <t xml:space="preserve">dividendové firmy USA</t>
  </si>
  <si>
    <t xml:space="preserve">SPDR S&amp;P US Dividend Aristocrats UCITS ETF (Dist)</t>
  </si>
  <si>
    <t xml:space="preserve">USDV / UDVD</t>
  </si>
  <si>
    <t xml:space="preserve">IE00B6YX5D40</t>
  </si>
  <si>
    <t xml:space="preserve">distribuční</t>
  </si>
  <si>
    <t xml:space="preserve">https://www.ssga.com/ch/de_ch/intermediary/etfs/state-street-spdr-sp-us-dividend-aristocrats-ucits-etf-dist-spyd-gy</t>
  </si>
  <si>
    <t xml:space="preserve">VIG</t>
  </si>
  <si>
    <t xml:space="preserve">firmy s rostoucí dividendou</t>
  </si>
  <si>
    <t xml:space="preserve">WisdomTree US Quality Dividend Growth UCITS ETF (Acc)</t>
  </si>
  <si>
    <t xml:space="preserve">DGRA</t>
  </si>
  <si>
    <t xml:space="preserve">IE00BZ56RG20</t>
  </si>
  <si>
    <t xml:space="preserve">https://www.finanzen.net/etf/wisdomtree-us-quality-dividend-growth-etf-ie00bz56rg20/xetra</t>
  </si>
  <si>
    <t xml:space="preserve">VNQ</t>
  </si>
  <si>
    <t xml:space="preserve">americké nemovitosti (REIT)</t>
  </si>
  <si>
    <t xml:space="preserve">iShares US Property Yield UCITS ETF (Dist)</t>
  </si>
  <si>
    <t xml:space="preserve">IUSP</t>
  </si>
  <si>
    <t xml:space="preserve">IE00B1FZSF77</t>
  </si>
  <si>
    <t xml:space="preserve">https://extraetf.com/de/etf-profile/IE00B1FZSF77</t>
  </si>
  <si>
    <t xml:space="preserve">GLD</t>
  </si>
  <si>
    <t xml:space="preserve">fyzické zlato</t>
  </si>
  <si>
    <t xml:space="preserve">iShares Physical Gold ETC</t>
  </si>
  <si>
    <t xml:space="preserve">SGLN / IGLN</t>
  </si>
  <si>
    <t xml:space="preserve">IE00B4ND3602</t>
  </si>
  <si>
    <t xml:space="preserve">https://www.fidelity.co.uk/factsheet-data/factsheet/IE00B4ND3602-ishares-physical-metals-plc</t>
  </si>
  <si>
    <t xml:space="preserve">AGG</t>
  </si>
  <si>
    <t xml:space="preserve">americké dluhopisy</t>
  </si>
  <si>
    <t xml:space="preserve">iShares US Aggregate Bond UCITS ETF (Dist)</t>
  </si>
  <si>
    <t xml:space="preserve">SUAG</t>
  </si>
  <si>
    <t xml:space="preserve">IE00B44CGS96</t>
  </si>
  <si>
    <t xml:space="preserve">https://extraetf.com/ch/etf-profile/IE00B44CGS96</t>
  </si>
  <si>
    <t xml:space="preserve">Deník nákupů</t>
  </si>
  <si>
    <t xml:space="preserve">Zapisujte každý nákup. Sloupec „Osvobozeno od“ hlídá časový test 3 roky (zisk z prodeje po této době je v ČR osvobozen od daně). Řádek 5 je ukázka, přepište ho.</t>
  </si>
  <si>
    <t xml:space="preserve">Datum nákupu</t>
  </si>
  <si>
    <t xml:space="preserve">ETF (ticker)</t>
  </si>
  <si>
    <t xml:space="preserve">Počet kusů</t>
  </si>
  <si>
    <t xml:space="preserve">Cena za kus (€)</t>
  </si>
  <si>
    <t xml:space="preserve">Částka (€)</t>
  </si>
  <si>
    <t xml:space="preserve">Osvobozeno od</t>
  </si>
  <si>
    <t xml:space="preserve">Stav</t>
  </si>
  <si>
    <t xml:space="preserve">Celkem investováno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</si>
</sst>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Kč&quot;;\-#,##0&quot; Kč&quot;;\-"/>
    <numFmt numFmtId="166" formatCode="0.00%"/>
    <numFmt numFmtId="167" formatCode="0&quot; let&quot;"/>
    <numFmt numFmtId="168" formatCode="0.0000%"/>
    <numFmt numFmtId="169" formatCode="0.00##%"/>
    <numFmt numFmtId="170" formatCode="d&quot;. &quot;m&quot;. &quot;yyyy"/>
    <numFmt numFmtId="171" formatCode="#,##0.00&quot; €&quot;;\-#,##0.00&quot; €&quot;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0A0A"/>
      <name val="Arial"/>
      <family val="0"/>
      <charset val="1"/>
    </font>
    <font>
      <sz val="9"/>
      <color rgb="FF71717A"/>
      <name val="Arial"/>
      <family val="0"/>
      <charset val="1"/>
    </font>
    <font>
      <sz val="10"/>
      <color rgb="FF0A0A0A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b val="true"/>
      <sz val="14"/>
      <color rgb="FF0A0A0A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CC00"/>
      </patternFill>
    </fill>
    <fill>
      <patternFill patternType="solid">
        <fgColor rgb="FF0A0A0A"/>
        <bgColor rgb="FF000000"/>
      </patternFill>
    </fill>
    <fill>
      <patternFill patternType="solid">
        <fgColor rgb="FFF4F4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E4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</font>
      <fill>
        <patternFill>
          <bgColor rgb="FFC9F24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4F4F5"/>
      <rgbColor rgb="FFE4E4E7"/>
      <rgbColor rgb="FF660066"/>
      <rgbColor rgb="FFFF8080"/>
      <rgbColor rgb="FF0066CC"/>
      <rgbColor rgb="FFD9D9D9"/>
      <rgbColor rgb="FF000080"/>
      <rgbColor rgb="FFFF00FF"/>
      <rgbColor rgb="FFC9F24B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B6834"/>
      <rgbColor rgb="FF71717A"/>
      <rgbColor rgb="FFA1A1AA"/>
      <rgbColor rgb="FF003366"/>
      <rgbColor rgb="FF1BAF7A"/>
      <rgbColor rgb="FF0A0A0A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ETF vs. fond: hodnota investice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'Můj plán'!B20</c:f>
              <c:strCache>
                <c:ptCount val="1"/>
                <c:pt idx="0">
                  <c:v>Vloženo</c:v>
                </c:pt>
              </c:strCache>
            </c:strRef>
          </c:tx>
          <c:spPr>
            <a:solidFill>
              <a:srgbClr val="a1a1aa"/>
            </a:solidFill>
            <a:ln w="21960">
              <a:solidFill>
                <a:srgbClr val="a1a1a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'Můj plán'!$A$21:$A$60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'Můj plán'!$B$21:$B$60</c:f>
              <c:numCache>
                <c:formatCode>#,##0" Kč";\-#,##0" Kč";\-</c:formatCode>
                <c:ptCount val="40"/>
                <c:pt idx="0">
                  <c:v>36000</c:v>
                </c:pt>
                <c:pt idx="1">
                  <c:v>72000</c:v>
                </c:pt>
                <c:pt idx="2">
                  <c:v>108000</c:v>
                </c:pt>
                <c:pt idx="3">
                  <c:v>144000</c:v>
                </c:pt>
                <c:pt idx="4">
                  <c:v>180000</c:v>
                </c:pt>
                <c:pt idx="5">
                  <c:v>216000</c:v>
                </c:pt>
                <c:pt idx="6">
                  <c:v>252000</c:v>
                </c:pt>
                <c:pt idx="7">
                  <c:v>288000</c:v>
                </c:pt>
                <c:pt idx="8">
                  <c:v>324000</c:v>
                </c:pt>
                <c:pt idx="9">
                  <c:v>360000</c:v>
                </c:pt>
                <c:pt idx="10">
                  <c:v>396000</c:v>
                </c:pt>
                <c:pt idx="11">
                  <c:v>432000</c:v>
                </c:pt>
                <c:pt idx="12">
                  <c:v>468000</c:v>
                </c:pt>
                <c:pt idx="13">
                  <c:v>504000</c:v>
                </c:pt>
                <c:pt idx="14">
                  <c:v>540000</c:v>
                </c:pt>
                <c:pt idx="15">
                  <c:v>576000</c:v>
                </c:pt>
                <c:pt idx="16">
                  <c:v>612000</c:v>
                </c:pt>
                <c:pt idx="17">
                  <c:v>648000</c:v>
                </c:pt>
                <c:pt idx="18">
                  <c:v>684000</c:v>
                </c:pt>
                <c:pt idx="19">
                  <c:v>720000</c:v>
                </c:pt>
                <c:pt idx="20">
                  <c:v>756000</c:v>
                </c:pt>
                <c:pt idx="21">
                  <c:v>792000</c:v>
                </c:pt>
                <c:pt idx="22">
                  <c:v>828000</c:v>
                </c:pt>
                <c:pt idx="23">
                  <c:v>864000</c:v>
                </c:pt>
                <c:pt idx="24">
                  <c:v>900000</c:v>
                </c:pt>
                <c:pt idx="25">
                  <c:v>936000</c:v>
                </c:pt>
                <c:pt idx="26">
                  <c:v>972000</c:v>
                </c:pt>
                <c:pt idx="27">
                  <c:v>1008000</c:v>
                </c:pt>
                <c:pt idx="28">
                  <c:v>1044000</c:v>
                </c:pt>
                <c:pt idx="29">
                  <c:v>1080000</c:v>
                </c:pt>
                <c:pt idx="30">
                  <c:v>1116000</c:v>
                </c:pt>
                <c:pt idx="31">
                  <c:v>1152000</c:v>
                </c:pt>
                <c:pt idx="32">
                  <c:v>1188000</c:v>
                </c:pt>
                <c:pt idx="33">
                  <c:v>1224000</c:v>
                </c:pt>
                <c:pt idx="34">
                  <c:v>1260000</c:v>
                </c:pt>
                <c:pt idx="35">
                  <c:v>1296000</c:v>
                </c:pt>
                <c:pt idx="36">
                  <c:v>1332000</c:v>
                </c:pt>
                <c:pt idx="37">
                  <c:v>1368000</c:v>
                </c:pt>
                <c:pt idx="38">
                  <c:v>1404000</c:v>
                </c:pt>
                <c:pt idx="39">
                  <c:v>1440000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'Můj plán'!C20</c:f>
              <c:strCache>
                <c:ptCount val="1"/>
                <c:pt idx="0">
                  <c:v>Hodnota s ETF</c:v>
                </c:pt>
              </c:strCache>
            </c:strRef>
          </c:tx>
          <c:spPr>
            <a:solidFill>
              <a:srgbClr val="1baf7a"/>
            </a:solidFill>
            <a:ln w="2196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'Můj plán'!$A$21:$A$60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'Můj plán'!$C$21:$C$60</c:f>
              <c:numCache>
                <c:formatCode>#,##0" Kč";\-#,##0" Kč";\-</c:formatCode>
                <c:ptCount val="40"/>
                <c:pt idx="0">
                  <c:v>37337.5176003713</c:v>
                </c:pt>
                <c:pt idx="1">
                  <c:v>77262.5251704483</c:v>
                </c:pt>
                <c:pt idx="2">
                  <c:v>119954.335765132</c:v>
                </c:pt>
                <c:pt idx="3">
                  <c:v>165604.688834027</c:v>
                </c:pt>
                <c:pt idx="4">
                  <c:v>214418.611370596</c:v>
                </c:pt>
                <c:pt idx="5">
                  <c:v>266615.338738949</c:v>
                </c:pt>
                <c:pt idx="6">
                  <c:v>322429.29931393</c:v>
                </c:pt>
                <c:pt idx="7">
                  <c:v>382111.167356756</c:v>
                </c:pt>
                <c:pt idx="8">
                  <c:v>445928.988854951</c:v>
                </c:pt>
                <c:pt idx="9">
                  <c:v>514169.38538297</c:v>
                </c:pt>
                <c:pt idx="10">
                  <c:v>587138.841390381</c:v>
                </c:pt>
                <c:pt idx="11">
                  <c:v>665165.080699106</c:v>
                </c:pt>
                <c:pt idx="12">
                  <c:v>748598.538391925</c:v>
                </c:pt>
                <c:pt idx="13">
                  <c:v>837813.934702856</c:v>
                </c:pt>
                <c:pt idx="14">
                  <c:v>933211.957978135</c:v>
                </c:pt>
                <c:pt idx="15">
                  <c:v>1035221.06426639</c:v>
                </c:pt>
                <c:pt idx="16">
                  <c:v>1144299.40162042</c:v>
                </c:pt>
                <c:pt idx="17">
                  <c:v>1260936.86775309</c:v>
                </c:pt>
                <c:pt idx="18">
                  <c:v>1385657.31028875</c:v>
                </c:pt>
                <c:pt idx="19">
                  <c:v>1519020.87949213</c:v>
                </c:pt>
                <c:pt idx="20">
                  <c:v>1661626.54404131</c:v>
                </c:pt>
                <c:pt idx="21">
                  <c:v>1814114.78114374</c:v>
                </c:pt>
                <c:pt idx="22">
                  <c:v>1977170.45307737</c:v>
                </c:pt>
                <c:pt idx="23">
                  <c:v>2151525.88307601</c:v>
                </c:pt>
                <c:pt idx="24">
                  <c:v>2337964.14437354</c:v>
                </c:pt>
                <c:pt idx="25">
                  <c:v>2537322.577179</c:v>
                </c:pt>
                <c:pt idx="26">
                  <c:v>2750496.54937788</c:v>
                </c:pt>
                <c:pt idx="27">
                  <c:v>2978443.47785013</c:v>
                </c:pt>
                <c:pt idx="28">
                  <c:v>3222187.12846552</c:v>
                </c:pt>
                <c:pt idx="29">
                  <c:v>3482822.21406855</c:v>
                </c:pt>
                <c:pt idx="30">
                  <c:v>3761519.31110387</c:v>
                </c:pt>
                <c:pt idx="31">
                  <c:v>4059530.11696374</c:v>
                </c:pt>
                <c:pt idx="32">
                  <c:v>4378193.0716697</c:v>
                </c:pt>
                <c:pt idx="33">
                  <c:v>4718939.36913678</c:v>
                </c:pt>
                <c:pt idx="34">
                  <c:v>5083299.38501833</c:v>
                </c:pt>
                <c:pt idx="35">
                  <c:v>5472909.55000047</c:v>
                </c:pt>
                <c:pt idx="36">
                  <c:v>5889519.69941587</c:v>
                </c:pt>
                <c:pt idx="37">
                  <c:v>6335000.93218576</c:v>
                </c:pt>
                <c:pt idx="38">
                  <c:v>6811354.0143866</c:v>
                </c:pt>
                <c:pt idx="39">
                  <c:v>7320718.36518396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'Můj plán'!D20</c:f>
              <c:strCache>
                <c:ptCount val="1"/>
                <c:pt idx="0">
                  <c:v>Hodnota s fondem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'Můj plán'!$A$21:$A$60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'Můj plán'!$D$21:$D$60</c:f>
              <c:numCache>
                <c:formatCode>#,##0" Kč";\-#,##0" Kč";\-</c:formatCode>
                <c:ptCount val="40"/>
                <c:pt idx="0">
                  <c:v>36971.5750387786</c:v>
                </c:pt>
                <c:pt idx="1">
                  <c:v>75799.1231445038</c:v>
                </c:pt>
                <c:pt idx="2">
                  <c:v>116575.814165136</c:v>
                </c:pt>
                <c:pt idx="3">
                  <c:v>159399.495075005</c:v>
                </c:pt>
                <c:pt idx="4">
                  <c:v>204372.924766548</c:v>
                </c:pt>
                <c:pt idx="5">
                  <c:v>251604.020628607</c:v>
                </c:pt>
                <c:pt idx="6">
                  <c:v>301206.117502942</c:v>
                </c:pt>
                <c:pt idx="7">
                  <c:v>353298.239640368</c:v>
                </c:pt>
                <c:pt idx="8">
                  <c:v>408005.386309093</c:v>
                </c:pt>
                <c:pt idx="9">
                  <c:v>465458.831740588</c:v>
                </c:pt>
                <c:pt idx="10">
                  <c:v>525796.440132744</c:v>
                </c:pt>
                <c:pt idx="11">
                  <c:v>589162.996466186</c:v>
                </c:pt>
                <c:pt idx="12">
                  <c:v>655710.553927566</c:v>
                </c:pt>
                <c:pt idx="13">
                  <c:v>725598.798773508</c:v>
                </c:pt>
                <c:pt idx="14">
                  <c:v>798995.433510717</c:v>
                </c:pt>
                <c:pt idx="15">
                  <c:v>876076.579311733</c:v>
                </c:pt>
                <c:pt idx="16">
                  <c:v>957027.19863196</c:v>
                </c:pt>
                <c:pt idx="17">
                  <c:v>1042041.53904206</c:v>
                </c:pt>
                <c:pt idx="18">
                  <c:v>1131323.59934075</c:v>
                </c:pt>
                <c:pt idx="19">
                  <c:v>1225087.61906644</c:v>
                </c:pt>
                <c:pt idx="20">
                  <c:v>1323558.59258235</c:v>
                </c:pt>
                <c:pt idx="21">
                  <c:v>1426972.80896876</c:v>
                </c:pt>
                <c:pt idx="22">
                  <c:v>1535578.41901777</c:v>
                </c:pt>
                <c:pt idx="23">
                  <c:v>1649636.03069124</c:v>
                </c:pt>
                <c:pt idx="24">
                  <c:v>1769419.33447072</c:v>
                </c:pt>
                <c:pt idx="25">
                  <c:v>1895215.76009993</c:v>
                </c:pt>
                <c:pt idx="26">
                  <c:v>2027327.16629572</c:v>
                </c:pt>
                <c:pt idx="27">
                  <c:v>2166070.56508254</c:v>
                </c:pt>
                <c:pt idx="28">
                  <c:v>2311778.88248846</c:v>
                </c:pt>
                <c:pt idx="29">
                  <c:v>2464801.75742816</c:v>
                </c:pt>
                <c:pt idx="30">
                  <c:v>2625506.38068983</c:v>
                </c:pt>
                <c:pt idx="31">
                  <c:v>2794278.37603924</c:v>
                </c:pt>
                <c:pt idx="32">
                  <c:v>2971522.72555519</c:v>
                </c:pt>
                <c:pt idx="33">
                  <c:v>3157664.74141683</c:v>
                </c:pt>
                <c:pt idx="34">
                  <c:v>3353151.08647474</c:v>
                </c:pt>
                <c:pt idx="35">
                  <c:v>3558450.84605454</c:v>
                </c:pt>
                <c:pt idx="36">
                  <c:v>3774056.65356526</c:v>
                </c:pt>
                <c:pt idx="37">
                  <c:v>4000485.87261301</c:v>
                </c:pt>
                <c:pt idx="38">
                  <c:v>4238281.83845696</c:v>
                </c:pt>
                <c:pt idx="39">
                  <c:v>4488015.16178628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413120"/>
        <c:axId val="85316742"/>
      </c:lineChart>
      <c:catAx>
        <c:axId val="374131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16742"/>
        <c:crosses val="autoZero"/>
        <c:auto val="1"/>
        <c:lblAlgn val="ctr"/>
        <c:lblOffset val="100"/>
        <c:noMultiLvlLbl val="0"/>
      </c:catAx>
      <c:valAx>
        <c:axId val="85316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Kč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Kč&quot;;\-#,##0&quot; Kč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131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101160</xdr:rowOff>
    </xdr:from>
    <xdr:to>
      <xdr:col>12</xdr:col>
      <xdr:colOff>242640</xdr:colOff>
      <xdr:row>18</xdr:row>
      <xdr:rowOff>173520</xdr:rowOff>
    </xdr:to>
    <xdr:graphicFrame>
      <xdr:nvGraphicFramePr>
        <xdr:cNvPr id="0" name="Chart 1"/>
        <xdr:cNvGraphicFramePr/>
      </xdr:nvGraphicFramePr>
      <xdr:xfrm>
        <a:off x="733032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6" min="6" style="0" width="4"/>
    <col collapsed="false" customWidth="true" hidden="false" outlineLevel="0" max="7" min="7" style="0" width="4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4" t="n">
        <v>3000</v>
      </c>
      <c r="G5" s="2" t="s">
        <v>4</v>
      </c>
    </row>
    <row r="6" customFormat="false" ht="15" hidden="false" customHeight="false" outlineLevel="0" collapsed="false">
      <c r="A6" s="3" t="s">
        <v>5</v>
      </c>
      <c r="B6" s="5" t="n">
        <v>0.07</v>
      </c>
      <c r="G6" s="2" t="s">
        <v>6</v>
      </c>
    </row>
    <row r="7" customFormat="false" ht="15" hidden="false" customHeight="false" outlineLevel="0" collapsed="false">
      <c r="A7" s="3" t="s">
        <v>7</v>
      </c>
      <c r="B7" s="5" t="n">
        <v>0.0007</v>
      </c>
      <c r="G7" s="2" t="s">
        <v>8</v>
      </c>
    </row>
    <row r="8" customFormat="false" ht="15" hidden="false" customHeight="false" outlineLevel="0" collapsed="false">
      <c r="A8" s="3" t="s">
        <v>9</v>
      </c>
      <c r="B8" s="5" t="n">
        <v>0.0198</v>
      </c>
      <c r="G8" s="2" t="s">
        <v>10</v>
      </c>
    </row>
    <row r="9" customFormat="false" ht="15" hidden="false" customHeight="false" outlineLevel="0" collapsed="false">
      <c r="A9" s="3" t="s">
        <v>11</v>
      </c>
      <c r="B9" s="6" t="n">
        <v>25</v>
      </c>
      <c r="G9" s="2" t="s">
        <v>12</v>
      </c>
    </row>
    <row r="11" customFormat="false" ht="15" hidden="false" customHeight="false" outlineLevel="0" collapsed="false">
      <c r="A11" s="2" t="s">
        <v>13</v>
      </c>
      <c r="B11" s="7" t="n">
        <f aca="false">(1+$B$6-$B$7)^(1/12)-1</f>
        <v>0.0055993035596984</v>
      </c>
    </row>
    <row r="12" customFormat="false" ht="15" hidden="false" customHeight="false" outlineLevel="0" collapsed="false">
      <c r="A12" s="2" t="s">
        <v>14</v>
      </c>
      <c r="B12" s="7" t="n">
        <f aca="false">(1+$B$6-$B$8)^(1/12)-1</f>
        <v>0.00409006007693691</v>
      </c>
    </row>
    <row r="14" customFormat="false" ht="15" hidden="false" customHeight="false" outlineLevel="0" collapsed="false">
      <c r="A14" s="2" t="s">
        <v>15</v>
      </c>
    </row>
    <row r="15" customFormat="false" ht="17.35" hidden="false" customHeight="false" outlineLevel="0" collapsed="false">
      <c r="A15" s="8" t="s">
        <v>16</v>
      </c>
      <c r="B15" s="9" t="n">
        <f aca="false">$B$5*12*$B$9</f>
        <v>900000</v>
      </c>
    </row>
    <row r="16" customFormat="false" ht="17.35" hidden="false" customHeight="false" outlineLevel="0" collapsed="false">
      <c r="A16" s="8" t="s">
        <v>17</v>
      </c>
      <c r="B16" s="9" t="n">
        <f aca="false">INDEX($C$21:$C$60,$B$9)</f>
        <v>2337964.14437354</v>
      </c>
    </row>
    <row r="17" customFormat="false" ht="17.35" hidden="false" customHeight="false" outlineLevel="0" collapsed="false">
      <c r="A17" s="8" t="s">
        <v>18</v>
      </c>
      <c r="B17" s="9" t="n">
        <f aca="false">INDEX($D$21:$D$60,$B$9)</f>
        <v>1769419.33447072</v>
      </c>
    </row>
    <row r="18" customFormat="false" ht="17.35" hidden="false" customHeight="false" outlineLevel="0" collapsed="false">
      <c r="A18" s="8" t="s">
        <v>19</v>
      </c>
      <c r="B18" s="10" t="n">
        <f aca="false">B16-B17</f>
        <v>568544.809902826</v>
      </c>
    </row>
    <row r="20" customFormat="false" ht="15" hidden="false" customHeight="false" outlineLevel="0" collapsed="false">
      <c r="A20" s="11" t="s">
        <v>20</v>
      </c>
      <c r="B20" s="12" t="s">
        <v>21</v>
      </c>
      <c r="C20" s="12" t="s">
        <v>17</v>
      </c>
      <c r="D20" s="12" t="s">
        <v>18</v>
      </c>
      <c r="E20" s="12" t="s">
        <v>22</v>
      </c>
    </row>
    <row r="21" customFormat="false" ht="15" hidden="false" customHeight="false" outlineLevel="0" collapsed="false">
      <c r="A21" s="13" t="n">
        <v>1</v>
      </c>
      <c r="B21" s="14" t="n">
        <f aca="false">$B$5*12*A21</f>
        <v>36000</v>
      </c>
      <c r="C21" s="14" t="n">
        <f aca="false">IF($B$11=0,$B$5*12*A21,$B$5*((1+$B$11)^(12*A21)-1)/$B$11*(1+$B$11))</f>
        <v>37337.5176003713</v>
      </c>
      <c r="D21" s="14" t="n">
        <f aca="false">IF($B$12=0,$B$5*12*A21,$B$5*((1+$B$12)^(12*A21)-1)/$B$12*(1+$B$12))</f>
        <v>36971.5750387786</v>
      </c>
      <c r="E21" s="14" t="n">
        <f aca="false">C21-D21</f>
        <v>365.942561592667</v>
      </c>
    </row>
    <row r="22" customFormat="false" ht="15" hidden="false" customHeight="false" outlineLevel="0" collapsed="false">
      <c r="A22" s="15" t="n">
        <v>2</v>
      </c>
      <c r="B22" s="16" t="n">
        <f aca="false">$B$5*12*A22</f>
        <v>72000</v>
      </c>
      <c r="C22" s="16" t="n">
        <f aca="false">IF($B$11=0,$B$5*12*A22,$B$5*((1+$B$11)^(12*A22)-1)/$B$11*(1+$B$11))</f>
        <v>77262.5251704483</v>
      </c>
      <c r="D22" s="16" t="n">
        <f aca="false">IF($B$12=0,$B$5*12*A22,$B$5*((1+$B$12)^(12*A22)-1)/$B$12*(1+$B$12))</f>
        <v>75799.1231445038</v>
      </c>
      <c r="E22" s="16" t="n">
        <f aca="false">C22-D22</f>
        <v>1463.40202594454</v>
      </c>
    </row>
    <row r="23" customFormat="false" ht="15" hidden="false" customHeight="false" outlineLevel="0" collapsed="false">
      <c r="A23" s="13" t="n">
        <v>3</v>
      </c>
      <c r="B23" s="14" t="n">
        <f aca="false">$B$5*12*A23</f>
        <v>108000</v>
      </c>
      <c r="C23" s="14" t="n">
        <f aca="false">IF($B$11=0,$B$5*12*A23,$B$5*((1+$B$11)^(12*A23)-1)/$B$11*(1+$B$11))</f>
        <v>119954.335765132</v>
      </c>
      <c r="D23" s="14" t="n">
        <f aca="false">IF($B$12=0,$B$5*12*A23,$B$5*((1+$B$12)^(12*A23)-1)/$B$12*(1+$B$12))</f>
        <v>116575.814165136</v>
      </c>
      <c r="E23" s="14" t="n">
        <f aca="false">C23-D23</f>
        <v>3378.52159999545</v>
      </c>
    </row>
    <row r="24" customFormat="false" ht="15" hidden="false" customHeight="false" outlineLevel="0" collapsed="false">
      <c r="A24" s="15" t="n">
        <v>4</v>
      </c>
      <c r="B24" s="16" t="n">
        <f aca="false">$B$5*12*A24</f>
        <v>144000</v>
      </c>
      <c r="C24" s="16" t="n">
        <f aca="false">IF($B$11=0,$B$5*12*A24,$B$5*((1+$B$11)^(12*A24)-1)/$B$11*(1+$B$11))</f>
        <v>165604.688834027</v>
      </c>
      <c r="D24" s="16" t="n">
        <f aca="false">IF($B$12=0,$B$5*12*A24,$B$5*((1+$B$12)^(12*A24)-1)/$B$12*(1+$B$12))</f>
        <v>159399.495075005</v>
      </c>
      <c r="E24" s="16" t="n">
        <f aca="false">C24-D24</f>
        <v>6205.19375902184</v>
      </c>
    </row>
    <row r="25" customFormat="false" ht="15" hidden="false" customHeight="false" outlineLevel="0" collapsed="false">
      <c r="A25" s="13" t="n">
        <v>5</v>
      </c>
      <c r="B25" s="14" t="n">
        <f aca="false">$B$5*12*A25</f>
        <v>180000</v>
      </c>
      <c r="C25" s="14" t="n">
        <f aca="false">IF($B$11=0,$B$5*12*A25,$B$5*((1+$B$11)^(12*A25)-1)/$B$11*(1+$B$11))</f>
        <v>214418.611370596</v>
      </c>
      <c r="D25" s="14" t="n">
        <f aca="false">IF($B$12=0,$B$5*12*A25,$B$5*((1+$B$12)^(12*A25)-1)/$B$12*(1+$B$12))</f>
        <v>204372.924766548</v>
      </c>
      <c r="E25" s="14" t="n">
        <f aca="false">C25-D25</f>
        <v>10045.6866040476</v>
      </c>
    </row>
    <row r="26" customFormat="false" ht="15" hidden="false" customHeight="false" outlineLevel="0" collapsed="false">
      <c r="A26" s="15" t="n">
        <v>6</v>
      </c>
      <c r="B26" s="16" t="n">
        <f aca="false">$B$5*12*A26</f>
        <v>216000</v>
      </c>
      <c r="C26" s="16" t="n">
        <f aca="false">IF($B$11=0,$B$5*12*A26,$B$5*((1+$B$11)^(12*A26)-1)/$B$11*(1+$B$11))</f>
        <v>266615.338738949</v>
      </c>
      <c r="D26" s="16" t="n">
        <f aca="false">IF($B$12=0,$B$5*12*A26,$B$5*((1+$B$12)^(12*A26)-1)/$B$12*(1+$B$12))</f>
        <v>251604.020628607</v>
      </c>
      <c r="E26" s="16" t="n">
        <f aca="false">C26-D26</f>
        <v>15011.3181103419</v>
      </c>
    </row>
    <row r="27" customFormat="false" ht="15" hidden="false" customHeight="false" outlineLevel="0" collapsed="false">
      <c r="A27" s="13" t="n">
        <v>7</v>
      </c>
      <c r="B27" s="14" t="n">
        <f aca="false">$B$5*12*A27</f>
        <v>252000</v>
      </c>
      <c r="C27" s="14" t="n">
        <f aca="false">IF($B$11=0,$B$5*12*A27,$B$5*((1+$B$11)^(12*A27)-1)/$B$11*(1+$B$11))</f>
        <v>322429.29931393</v>
      </c>
      <c r="D27" s="14" t="n">
        <f aca="false">IF($B$12=0,$B$5*12*A27,$B$5*((1+$B$12)^(12*A27)-1)/$B$12*(1+$B$12))</f>
        <v>301206.117502942</v>
      </c>
      <c r="E27" s="14" t="n">
        <f aca="false">C27-D27</f>
        <v>21223.1818109878</v>
      </c>
    </row>
    <row r="28" customFormat="false" ht="15" hidden="false" customHeight="false" outlineLevel="0" collapsed="false">
      <c r="A28" s="15" t="n">
        <v>8</v>
      </c>
      <c r="B28" s="16" t="n">
        <f aca="false">$B$5*12*A28</f>
        <v>288000</v>
      </c>
      <c r="C28" s="16" t="n">
        <f aca="false">IF($B$11=0,$B$5*12*A28,$B$5*((1+$B$11)^(12*A28)-1)/$B$11*(1+$B$11))</f>
        <v>382111.167356756</v>
      </c>
      <c r="D28" s="16" t="n">
        <f aca="false">IF($B$12=0,$B$5*12*A28,$B$5*((1+$B$12)^(12*A28)-1)/$B$12*(1+$B$12))</f>
        <v>353298.239640368</v>
      </c>
      <c r="E28" s="16" t="n">
        <f aca="false">C28-D28</f>
        <v>28812.9277163883</v>
      </c>
    </row>
    <row r="29" customFormat="false" ht="15" hidden="false" customHeight="false" outlineLevel="0" collapsed="false">
      <c r="A29" s="13" t="n">
        <v>9</v>
      </c>
      <c r="B29" s="14" t="n">
        <f aca="false">$B$5*12*A29</f>
        <v>324000</v>
      </c>
      <c r="C29" s="14" t="n">
        <f aca="false">IF($B$11=0,$B$5*12*A29,$B$5*((1+$B$11)^(12*A29)-1)/$B$11*(1+$B$11))</f>
        <v>445928.988854951</v>
      </c>
      <c r="D29" s="14" t="n">
        <f aca="false">IF($B$12=0,$B$5*12*A29,$B$5*((1+$B$12)^(12*A29)-1)/$B$12*(1+$B$12))</f>
        <v>408005.386309093</v>
      </c>
      <c r="E29" s="14" t="n">
        <f aca="false">C29-D29</f>
        <v>37923.6025458578</v>
      </c>
    </row>
    <row r="30" customFormat="false" ht="15" hidden="false" customHeight="false" outlineLevel="0" collapsed="false">
      <c r="A30" s="15" t="n">
        <v>10</v>
      </c>
      <c r="B30" s="16" t="n">
        <f aca="false">$B$5*12*A30</f>
        <v>360000</v>
      </c>
      <c r="C30" s="16" t="n">
        <f aca="false">IF($B$11=0,$B$5*12*A30,$B$5*((1+$B$11)^(12*A30)-1)/$B$11*(1+$B$11))</f>
        <v>514169.38538297</v>
      </c>
      <c r="D30" s="16" t="n">
        <f aca="false">IF($B$12=0,$B$5*12*A30,$B$5*((1+$B$12)^(12*A30)-1)/$B$12*(1+$B$12))</f>
        <v>465458.831740588</v>
      </c>
      <c r="E30" s="16" t="n">
        <f aca="false">C30-D30</f>
        <v>48710.5536423826</v>
      </c>
    </row>
    <row r="31" customFormat="false" ht="15" hidden="false" customHeight="false" outlineLevel="0" collapsed="false">
      <c r="A31" s="13" t="n">
        <v>11</v>
      </c>
      <c r="B31" s="14" t="n">
        <f aca="false">$B$5*12*A31</f>
        <v>396000</v>
      </c>
      <c r="C31" s="14" t="n">
        <f aca="false">IF($B$11=0,$B$5*12*A31,$B$5*((1+$B$11)^(12*A31)-1)/$B$11*(1+$B$11))</f>
        <v>587138.841390381</v>
      </c>
      <c r="D31" s="14" t="n">
        <f aca="false">IF($B$12=0,$B$5*12*A31,$B$5*((1+$B$12)^(12*A31)-1)/$B$12*(1+$B$12))</f>
        <v>525796.440132744</v>
      </c>
      <c r="E31" s="14" t="n">
        <f aca="false">C31-D31</f>
        <v>61342.4012576377</v>
      </c>
    </row>
    <row r="32" customFormat="false" ht="15" hidden="false" customHeight="false" outlineLevel="0" collapsed="false">
      <c r="A32" s="15" t="n">
        <v>12</v>
      </c>
      <c r="B32" s="16" t="n">
        <f aca="false">$B$5*12*A32</f>
        <v>432000</v>
      </c>
      <c r="C32" s="16" t="n">
        <f aca="false">IF($B$11=0,$B$5*12*A32,$B$5*((1+$B$11)^(12*A32)-1)/$B$11*(1+$B$11))</f>
        <v>665165.080699106</v>
      </c>
      <c r="D32" s="16" t="n">
        <f aca="false">IF($B$12=0,$B$5*12*A32,$B$5*((1+$B$12)^(12*A32)-1)/$B$12*(1+$B$12))</f>
        <v>589162.996466186</v>
      </c>
      <c r="E32" s="16" t="n">
        <f aca="false">C32-D32</f>
        <v>76002.0842329201</v>
      </c>
    </row>
    <row r="33" customFormat="false" ht="15" hidden="false" customHeight="false" outlineLevel="0" collapsed="false">
      <c r="A33" s="13" t="n">
        <v>13</v>
      </c>
      <c r="B33" s="14" t="n">
        <f aca="false">$B$5*12*A33</f>
        <v>468000</v>
      </c>
      <c r="C33" s="14" t="n">
        <f aca="false">IF($B$11=0,$B$5*12*A33,$B$5*((1+$B$11)^(12*A33)-1)/$B$11*(1+$B$11))</f>
        <v>748598.538391925</v>
      </c>
      <c r="D33" s="14" t="n">
        <f aca="false">IF($B$12=0,$B$5*12*A33,$B$5*((1+$B$12)^(12*A33)-1)/$B$12*(1+$B$12))</f>
        <v>655710.553927566</v>
      </c>
      <c r="E33" s="14" t="n">
        <f aca="false">C33-D33</f>
        <v>92887.9844643584</v>
      </c>
    </row>
    <row r="34" customFormat="false" ht="15" hidden="false" customHeight="false" outlineLevel="0" collapsed="false">
      <c r="A34" s="15" t="n">
        <v>14</v>
      </c>
      <c r="B34" s="16" t="n">
        <f aca="false">$B$5*12*A34</f>
        <v>504000</v>
      </c>
      <c r="C34" s="16" t="n">
        <f aca="false">IF($B$11=0,$B$5*12*A34,$B$5*((1+$B$11)^(12*A34)-1)/$B$11*(1+$B$11))</f>
        <v>837813.934702856</v>
      </c>
      <c r="D34" s="16" t="n">
        <f aca="false">IF($B$12=0,$B$5*12*A34,$B$5*((1+$B$12)^(12*A34)-1)/$B$12*(1+$B$12))</f>
        <v>725598.798773508</v>
      </c>
      <c r="E34" s="16" t="n">
        <f aca="false">C34-D34</f>
        <v>112215.135929348</v>
      </c>
    </row>
    <row r="35" customFormat="false" ht="15" hidden="false" customHeight="false" outlineLevel="0" collapsed="false">
      <c r="A35" s="13" t="n">
        <v>15</v>
      </c>
      <c r="B35" s="14" t="n">
        <f aca="false">$B$5*12*A35</f>
        <v>540000</v>
      </c>
      <c r="C35" s="14" t="n">
        <f aca="false">IF($B$11=0,$B$5*12*A35,$B$5*((1+$B$11)^(12*A35)-1)/$B$11*(1+$B$11))</f>
        <v>933211.957978135</v>
      </c>
      <c r="D35" s="14" t="n">
        <f aca="false">IF($B$12=0,$B$5*12*A35,$B$5*((1+$B$12)^(12*A35)-1)/$B$12*(1+$B$12))</f>
        <v>798995.433510717</v>
      </c>
      <c r="E35" s="14" t="n">
        <f aca="false">C35-D35</f>
        <v>134216.524467419</v>
      </c>
    </row>
    <row r="36" customFormat="false" ht="15" hidden="false" customHeight="false" outlineLevel="0" collapsed="false">
      <c r="A36" s="15" t="n">
        <v>16</v>
      </c>
      <c r="B36" s="16" t="n">
        <f aca="false">$B$5*12*A36</f>
        <v>576000</v>
      </c>
      <c r="C36" s="16" t="n">
        <f aca="false">IF($B$11=0,$B$5*12*A36,$B$5*((1+$B$11)^(12*A36)-1)/$B$11*(1+$B$11))</f>
        <v>1035221.06426639</v>
      </c>
      <c r="D36" s="16" t="n">
        <f aca="false">IF($B$12=0,$B$5*12*A36,$B$5*((1+$B$12)^(12*A36)-1)/$B$12*(1+$B$12))</f>
        <v>876076.579311733</v>
      </c>
      <c r="E36" s="16" t="n">
        <f aca="false">C36-D36</f>
        <v>159144.484954659</v>
      </c>
    </row>
    <row r="37" customFormat="false" ht="15" hidden="false" customHeight="false" outlineLevel="0" collapsed="false">
      <c r="A37" s="13" t="n">
        <v>17</v>
      </c>
      <c r="B37" s="14" t="n">
        <f aca="false">$B$5*12*A37</f>
        <v>612000</v>
      </c>
      <c r="C37" s="14" t="n">
        <f aca="false">IF($B$11=0,$B$5*12*A37,$B$5*((1+$B$11)^(12*A37)-1)/$B$11*(1+$B$11))</f>
        <v>1144299.40162042</v>
      </c>
      <c r="D37" s="14" t="n">
        <f aca="false">IF($B$12=0,$B$5*12*A37,$B$5*((1+$B$12)^(12*A37)-1)/$B$12*(1+$B$12))</f>
        <v>957027.19863196</v>
      </c>
      <c r="E37" s="14" t="n">
        <f aca="false">C37-D37</f>
        <v>187272.202988463</v>
      </c>
    </row>
    <row r="38" customFormat="false" ht="15" hidden="false" customHeight="false" outlineLevel="0" collapsed="false">
      <c r="A38" s="15" t="n">
        <v>18</v>
      </c>
      <c r="B38" s="16" t="n">
        <f aca="false">$B$5*12*A38</f>
        <v>648000</v>
      </c>
      <c r="C38" s="16" t="n">
        <f aca="false">IF($B$11=0,$B$5*12*A38,$B$5*((1+$B$11)^(12*A38)-1)/$B$11*(1+$B$11))</f>
        <v>1260936.86775309</v>
      </c>
      <c r="D38" s="16" t="n">
        <f aca="false">IF($B$12=0,$B$5*12*A38,$B$5*((1+$B$12)^(12*A38)-1)/$B$12*(1+$B$12))</f>
        <v>1042041.53904206</v>
      </c>
      <c r="E38" s="16" t="n">
        <f aca="false">C38-D38</f>
        <v>218895.328711027</v>
      </c>
    </row>
    <row r="39" customFormat="false" ht="15" hidden="false" customHeight="false" outlineLevel="0" collapsed="false">
      <c r="A39" s="13" t="n">
        <v>19</v>
      </c>
      <c r="B39" s="14" t="n">
        <f aca="false">$B$5*12*A39</f>
        <v>684000</v>
      </c>
      <c r="C39" s="14" t="n">
        <f aca="false">IF($B$11=0,$B$5*12*A39,$B$5*((1+$B$11)^(12*A39)-1)/$B$11*(1+$B$11))</f>
        <v>1385657.31028875</v>
      </c>
      <c r="D39" s="14" t="n">
        <f aca="false">IF($B$12=0,$B$5*12*A39,$B$5*((1+$B$12)^(12*A39)-1)/$B$12*(1+$B$12))</f>
        <v>1131323.59934075</v>
      </c>
      <c r="E39" s="14" t="n">
        <f aca="false">C39-D39</f>
        <v>254333.710947998</v>
      </c>
    </row>
    <row r="40" customFormat="false" ht="15" hidden="false" customHeight="false" outlineLevel="0" collapsed="false">
      <c r="A40" s="15" t="n">
        <v>20</v>
      </c>
      <c r="B40" s="16" t="n">
        <f aca="false">$B$5*12*A40</f>
        <v>720000</v>
      </c>
      <c r="C40" s="16" t="n">
        <f aca="false">IF($B$11=0,$B$5*12*A40,$B$5*((1+$B$11)^(12*A40)-1)/$B$11*(1+$B$11))</f>
        <v>1519020.87949213</v>
      </c>
      <c r="D40" s="16" t="n">
        <f aca="false">IF($B$12=0,$B$5*12*A40,$B$5*((1+$B$12)^(12*A40)-1)/$B$12*(1+$B$12))</f>
        <v>1225087.61906644</v>
      </c>
      <c r="E40" s="16" t="n">
        <f aca="false">C40-D40</f>
        <v>293933.260425696</v>
      </c>
    </row>
    <row r="41" customFormat="false" ht="15" hidden="false" customHeight="false" outlineLevel="0" collapsed="false">
      <c r="A41" s="13" t="n">
        <v>21</v>
      </c>
      <c r="B41" s="14" t="n">
        <f aca="false">$B$5*12*A41</f>
        <v>756000</v>
      </c>
      <c r="C41" s="14" t="n">
        <f aca="false">IF($B$11=0,$B$5*12*A41,$B$5*((1+$B$11)^(12*A41)-1)/$B$11*(1+$B$11))</f>
        <v>1661626.54404131</v>
      </c>
      <c r="D41" s="14" t="n">
        <f aca="false">IF($B$12=0,$B$5*12*A41,$B$5*((1+$B$12)^(12*A41)-1)/$B$12*(1+$B$12))</f>
        <v>1323558.59258235</v>
      </c>
      <c r="E41" s="14" t="n">
        <f aca="false">C41-D41</f>
        <v>338067.951458958</v>
      </c>
    </row>
    <row r="42" customFormat="false" ht="15" hidden="false" customHeight="false" outlineLevel="0" collapsed="false">
      <c r="A42" s="15" t="n">
        <v>22</v>
      </c>
      <c r="B42" s="16" t="n">
        <f aca="false">$B$5*12*A42</f>
        <v>792000</v>
      </c>
      <c r="C42" s="16" t="n">
        <f aca="false">IF($B$11=0,$B$5*12*A42,$B$5*((1+$B$11)^(12*A42)-1)/$B$11*(1+$B$11))</f>
        <v>1814114.78114374</v>
      </c>
      <c r="D42" s="16" t="n">
        <f aca="false">IF($B$12=0,$B$5*12*A42,$B$5*((1+$B$12)^(12*A42)-1)/$B$12*(1+$B$12))</f>
        <v>1426972.80896876</v>
      </c>
      <c r="E42" s="16" t="n">
        <f aca="false">C42-D42</f>
        <v>387141.97217498</v>
      </c>
    </row>
    <row r="43" customFormat="false" ht="15" hidden="false" customHeight="false" outlineLevel="0" collapsed="false">
      <c r="A43" s="13" t="n">
        <v>23</v>
      </c>
      <c r="B43" s="14" t="n">
        <f aca="false">$B$5*12*A43</f>
        <v>828000</v>
      </c>
      <c r="C43" s="14" t="n">
        <f aca="false">IF($B$11=0,$B$5*12*A43,$B$5*((1+$B$11)^(12*A43)-1)/$B$11*(1+$B$11))</f>
        <v>1977170.45307737</v>
      </c>
      <c r="D43" s="14" t="n">
        <f aca="false">IF($B$12=0,$B$5*12*A43,$B$5*((1+$B$12)^(12*A43)-1)/$B$12*(1+$B$12))</f>
        <v>1535578.41901777</v>
      </c>
      <c r="E43" s="14" t="n">
        <f aca="false">C43-D43</f>
        <v>441592.034059602</v>
      </c>
    </row>
    <row r="44" customFormat="false" ht="15" hidden="false" customHeight="false" outlineLevel="0" collapsed="false">
      <c r="A44" s="15" t="n">
        <v>24</v>
      </c>
      <c r="B44" s="16" t="n">
        <f aca="false">$B$5*12*A44</f>
        <v>864000</v>
      </c>
      <c r="C44" s="16" t="n">
        <f aca="false">IF($B$11=0,$B$5*12*A44,$B$5*((1+$B$11)^(12*A44)-1)/$B$11*(1+$B$11))</f>
        <v>2151525.88307601</v>
      </c>
      <c r="D44" s="16" t="n">
        <f aca="false">IF($B$12=0,$B$5*12*A44,$B$5*((1+$B$12)^(12*A44)-1)/$B$12*(1+$B$12))</f>
        <v>1649636.03069124</v>
      </c>
      <c r="E44" s="16" t="n">
        <f aca="false">C44-D44</f>
        <v>501889.852384766</v>
      </c>
    </row>
    <row r="45" customFormat="false" ht="15" hidden="false" customHeight="false" outlineLevel="0" collapsed="false">
      <c r="A45" s="13" t="n">
        <v>25</v>
      </c>
      <c r="B45" s="14" t="n">
        <f aca="false">$B$5*12*A45</f>
        <v>900000</v>
      </c>
      <c r="C45" s="14" t="n">
        <f aca="false">IF($B$11=0,$B$5*12*A45,$B$5*((1+$B$11)^(12*A45)-1)/$B$11*(1+$B$11))</f>
        <v>2337964.14437354</v>
      </c>
      <c r="D45" s="14" t="n">
        <f aca="false">IF($B$12=0,$B$5*12*A45,$B$5*((1+$B$12)^(12*A45)-1)/$B$12*(1+$B$12))</f>
        <v>1769419.33447072</v>
      </c>
      <c r="E45" s="14" t="n">
        <f aca="false">C45-D45</f>
        <v>568544.809902826</v>
      </c>
    </row>
    <row r="46" customFormat="false" ht="15" hidden="false" customHeight="false" outlineLevel="0" collapsed="false">
      <c r="A46" s="15" t="n">
        <v>26</v>
      </c>
      <c r="B46" s="16" t="n">
        <f aca="false">$B$5*12*A46</f>
        <v>936000</v>
      </c>
      <c r="C46" s="16" t="n">
        <f aca="false">IF($B$11=0,$B$5*12*A46,$B$5*((1+$B$11)^(12*A46)-1)/$B$11*(1+$B$11))</f>
        <v>2537322.577179</v>
      </c>
      <c r="D46" s="16" t="n">
        <f aca="false">IF($B$12=0,$B$5*12*A46,$B$5*((1+$B$12)^(12*A46)-1)/$B$12*(1+$B$12))</f>
        <v>1895215.76009993</v>
      </c>
      <c r="E46" s="16" t="n">
        <f aca="false">C46-D46</f>
        <v>642106.817079075</v>
      </c>
    </row>
    <row r="47" customFormat="false" ht="15" hidden="false" customHeight="false" outlineLevel="0" collapsed="false">
      <c r="A47" s="13" t="n">
        <v>27</v>
      </c>
      <c r="B47" s="14" t="n">
        <f aca="false">$B$5*12*A47</f>
        <v>972000</v>
      </c>
      <c r="C47" s="14" t="n">
        <f aca="false">IF($B$11=0,$B$5*12*A47,$B$5*((1+$B$11)^(12*A47)-1)/$B$11*(1+$B$11))</f>
        <v>2750496.54937788</v>
      </c>
      <c r="D47" s="14" t="n">
        <f aca="false">IF($B$12=0,$B$5*12*A47,$B$5*((1+$B$12)^(12*A47)-1)/$B$12*(1+$B$12))</f>
        <v>2027327.16629572</v>
      </c>
      <c r="E47" s="14" t="n">
        <f aca="false">C47-D47</f>
        <v>723169.383082156</v>
      </c>
    </row>
    <row r="48" customFormat="false" ht="15" hidden="false" customHeight="false" outlineLevel="0" collapsed="false">
      <c r="A48" s="15" t="n">
        <v>28</v>
      </c>
      <c r="B48" s="16" t="n">
        <f aca="false">$B$5*12*A48</f>
        <v>1008000</v>
      </c>
      <c r="C48" s="16" t="n">
        <f aca="false">IF($B$11=0,$B$5*12*A48,$B$5*((1+$B$11)^(12*A48)-1)/$B$11*(1+$B$11))</f>
        <v>2978443.47785013</v>
      </c>
      <c r="D48" s="16" t="n">
        <f aca="false">IF($B$12=0,$B$5*12*A48,$B$5*((1+$B$12)^(12*A48)-1)/$B$12*(1+$B$12))</f>
        <v>2166070.56508254</v>
      </c>
      <c r="E48" s="16" t="n">
        <f aca="false">C48-D48</f>
        <v>812372.912767592</v>
      </c>
    </row>
    <row r="49" customFormat="false" ht="15" hidden="false" customHeight="false" outlineLevel="0" collapsed="false">
      <c r="A49" s="13" t="n">
        <v>29</v>
      </c>
      <c r="B49" s="14" t="n">
        <f aca="false">$B$5*12*A49</f>
        <v>1044000</v>
      </c>
      <c r="C49" s="14" t="n">
        <f aca="false">IF($B$11=0,$B$5*12*A49,$B$5*((1+$B$11)^(12*A49)-1)/$B$11*(1+$B$11))</f>
        <v>3222187.12846552</v>
      </c>
      <c r="D49" s="14" t="n">
        <f aca="false">IF($B$12=0,$B$5*12*A49,$B$5*((1+$B$12)^(12*A49)-1)/$B$12*(1+$B$12))</f>
        <v>2311778.88248846</v>
      </c>
      <c r="E49" s="14" t="n">
        <f aca="false">C49-D49</f>
        <v>910408.245977055</v>
      </c>
    </row>
    <row r="50" customFormat="false" ht="15" hidden="false" customHeight="false" outlineLevel="0" collapsed="false">
      <c r="A50" s="15" t="n">
        <v>30</v>
      </c>
      <c r="B50" s="16" t="n">
        <f aca="false">$B$5*12*A50</f>
        <v>1080000</v>
      </c>
      <c r="C50" s="16" t="n">
        <f aca="false">IF($B$11=0,$B$5*12*A50,$B$5*((1+$B$11)^(12*A50)-1)/$B$11*(1+$B$11))</f>
        <v>3482822.21406855</v>
      </c>
      <c r="D50" s="16" t="n">
        <f aca="false">IF($B$12=0,$B$5*12*A50,$B$5*((1+$B$12)^(12*A50)-1)/$B$12*(1+$B$12))</f>
        <v>2464801.75742816</v>
      </c>
      <c r="E50" s="16" t="n">
        <f aca="false">C50-D50</f>
        <v>1018020.45664039</v>
      </c>
    </row>
    <row r="51" customFormat="false" ht="15" hidden="false" customHeight="false" outlineLevel="0" collapsed="false">
      <c r="A51" s="13" t="n">
        <v>31</v>
      </c>
      <c r="B51" s="14" t="n">
        <f aca="false">$B$5*12*A51</f>
        <v>1116000</v>
      </c>
      <c r="C51" s="14" t="n">
        <f aca="false">IF($B$11=0,$B$5*12*A51,$B$5*((1+$B$11)^(12*A51)-1)/$B$11*(1+$B$11))</f>
        <v>3761519.31110387</v>
      </c>
      <c r="D51" s="14" t="n">
        <f aca="false">IF($B$12=0,$B$5*12*A51,$B$5*((1+$B$12)^(12*A51)-1)/$B$12*(1+$B$12))</f>
        <v>2625506.38068983</v>
      </c>
      <c r="E51" s="14" t="n">
        <f aca="false">C51-D51</f>
        <v>1136012.93041404</v>
      </c>
    </row>
    <row r="52" customFormat="false" ht="15" hidden="false" customHeight="false" outlineLevel="0" collapsed="false">
      <c r="A52" s="15" t="n">
        <v>32</v>
      </c>
      <c r="B52" s="16" t="n">
        <f aca="false">$B$5*12*A52</f>
        <v>1152000</v>
      </c>
      <c r="C52" s="16" t="n">
        <f aca="false">IF($B$11=0,$B$5*12*A52,$B$5*((1+$B$11)^(12*A52)-1)/$B$11*(1+$B$11))</f>
        <v>4059530.11696374</v>
      </c>
      <c r="D52" s="16" t="n">
        <f aca="false">IF($B$12=0,$B$5*12*A52,$B$5*((1+$B$12)^(12*A52)-1)/$B$12*(1+$B$12))</f>
        <v>2794278.37603924</v>
      </c>
      <c r="E52" s="16" t="n">
        <f aca="false">C52-D52</f>
        <v>1265251.7409245</v>
      </c>
    </row>
    <row r="53" customFormat="false" ht="15" hidden="false" customHeight="false" outlineLevel="0" collapsed="false">
      <c r="A53" s="13" t="n">
        <v>33</v>
      </c>
      <c r="B53" s="14" t="n">
        <f aca="false">$B$5*12*A53</f>
        <v>1188000</v>
      </c>
      <c r="C53" s="14" t="n">
        <f aca="false">IF($B$11=0,$B$5*12*A53,$B$5*((1+$B$11)^(12*A53)-1)/$B$11*(1+$B$11))</f>
        <v>4378193.0716697</v>
      </c>
      <c r="D53" s="14" t="n">
        <f aca="false">IF($B$12=0,$B$5*12*A53,$B$5*((1+$B$12)^(12*A53)-1)/$B$12*(1+$B$12))</f>
        <v>2971522.72555519</v>
      </c>
      <c r="E53" s="14" t="n">
        <f aca="false">C53-D53</f>
        <v>1406670.34611451</v>
      </c>
    </row>
    <row r="54" customFormat="false" ht="15" hidden="false" customHeight="false" outlineLevel="0" collapsed="false">
      <c r="A54" s="15" t="n">
        <v>34</v>
      </c>
      <c r="B54" s="16" t="n">
        <f aca="false">$B$5*12*A54</f>
        <v>1224000</v>
      </c>
      <c r="C54" s="16" t="n">
        <f aca="false">IF($B$11=0,$B$5*12*A54,$B$5*((1+$B$11)^(12*A54)-1)/$B$11*(1+$B$11))</f>
        <v>4718939.36913678</v>
      </c>
      <c r="D54" s="16" t="n">
        <f aca="false">IF($B$12=0,$B$5*12*A54,$B$5*((1+$B$12)^(12*A54)-1)/$B$12*(1+$B$12))</f>
        <v>3157664.74141683</v>
      </c>
      <c r="E54" s="16" t="n">
        <f aca="false">C54-D54</f>
        <v>1561274.62771994</v>
      </c>
    </row>
    <row r="55" customFormat="false" ht="15" hidden="false" customHeight="false" outlineLevel="0" collapsed="false">
      <c r="A55" s="13" t="n">
        <v>35</v>
      </c>
      <c r="B55" s="14" t="n">
        <f aca="false">$B$5*12*A55</f>
        <v>1260000</v>
      </c>
      <c r="C55" s="14" t="n">
        <f aca="false">IF($B$11=0,$B$5*12*A55,$B$5*((1+$B$11)^(12*A55)-1)/$B$11*(1+$B$11))</f>
        <v>5083299.38501833</v>
      </c>
      <c r="D55" s="14" t="n">
        <f aca="false">IF($B$12=0,$B$5*12*A55,$B$5*((1+$B$12)^(12*A55)-1)/$B$12*(1+$B$12))</f>
        <v>3353151.08647474</v>
      </c>
      <c r="E55" s="14" t="n">
        <f aca="false">C55-D55</f>
        <v>1730148.29854359</v>
      </c>
    </row>
    <row r="56" customFormat="false" ht="15" hidden="false" customHeight="false" outlineLevel="0" collapsed="false">
      <c r="A56" s="15" t="n">
        <v>36</v>
      </c>
      <c r="B56" s="16" t="n">
        <f aca="false">$B$5*12*A56</f>
        <v>1296000</v>
      </c>
      <c r="C56" s="16" t="n">
        <f aca="false">IF($B$11=0,$B$5*12*A56,$B$5*((1+$B$11)^(12*A56)-1)/$B$11*(1+$B$11))</f>
        <v>5472909.55000047</v>
      </c>
      <c r="D56" s="16" t="n">
        <f aca="false">IF($B$12=0,$B$5*12*A56,$B$5*((1+$B$12)^(12*A56)-1)/$B$12*(1+$B$12))</f>
        <v>3558450.84605454</v>
      </c>
      <c r="E56" s="16" t="n">
        <f aca="false">C56-D56</f>
        <v>1914458.70394592</v>
      </c>
    </row>
    <row r="57" customFormat="false" ht="15" hidden="false" customHeight="false" outlineLevel="0" collapsed="false">
      <c r="A57" s="13" t="n">
        <v>37</v>
      </c>
      <c r="B57" s="14" t="n">
        <f aca="false">$B$5*12*A57</f>
        <v>1332000</v>
      </c>
      <c r="C57" s="14" t="n">
        <f aca="false">IF($B$11=0,$B$5*12*A57,$B$5*((1+$B$11)^(12*A57)-1)/$B$11*(1+$B$11))</f>
        <v>5889519.69941587</v>
      </c>
      <c r="D57" s="14" t="n">
        <f aca="false">IF($B$12=0,$B$5*12*A57,$B$5*((1+$B$12)^(12*A57)-1)/$B$12*(1+$B$12))</f>
        <v>3774056.65356526</v>
      </c>
      <c r="E57" s="14" t="n">
        <f aca="false">C57-D57</f>
        <v>2115463.04585061</v>
      </c>
    </row>
    <row r="58" customFormat="false" ht="15" hidden="false" customHeight="false" outlineLevel="0" collapsed="false">
      <c r="A58" s="15" t="n">
        <v>38</v>
      </c>
      <c r="B58" s="16" t="n">
        <f aca="false">$B$5*12*A58</f>
        <v>1368000</v>
      </c>
      <c r="C58" s="16" t="n">
        <f aca="false">IF($B$11=0,$B$5*12*A58,$B$5*((1+$B$11)^(12*A58)-1)/$B$11*(1+$B$11))</f>
        <v>6335000.93218576</v>
      </c>
      <c r="D58" s="16" t="n">
        <f aca="false">IF($B$12=0,$B$5*12*A58,$B$5*((1+$B$12)^(12*A58)-1)/$B$12*(1+$B$12))</f>
        <v>4000485.87261301</v>
      </c>
      <c r="E58" s="16" t="n">
        <f aca="false">C58-D58</f>
        <v>2334515.05957275</v>
      </c>
    </row>
    <row r="59" customFormat="false" ht="15" hidden="false" customHeight="false" outlineLevel="0" collapsed="false">
      <c r="A59" s="13" t="n">
        <v>39</v>
      </c>
      <c r="B59" s="14" t="n">
        <f aca="false">$B$5*12*A59</f>
        <v>1404000</v>
      </c>
      <c r="C59" s="14" t="n">
        <f aca="false">IF($B$11=0,$B$5*12*A59,$B$5*((1+$B$11)^(12*A59)-1)/$B$11*(1+$B$11))</f>
        <v>6811354.0143866</v>
      </c>
      <c r="D59" s="14" t="n">
        <f aca="false">IF($B$12=0,$B$5*12*A59,$B$5*((1+$B$12)^(12*A59)-1)/$B$12*(1+$B$12))</f>
        <v>4238281.83845696</v>
      </c>
      <c r="E59" s="14" t="n">
        <f aca="false">C59-D59</f>
        <v>2573072.17592964</v>
      </c>
    </row>
    <row r="60" customFormat="false" ht="15" hidden="false" customHeight="false" outlineLevel="0" collapsed="false">
      <c r="A60" s="15" t="n">
        <v>40</v>
      </c>
      <c r="B60" s="16" t="n">
        <f aca="false">$B$5*12*A60</f>
        <v>1440000</v>
      </c>
      <c r="C60" s="16" t="n">
        <f aca="false">IF($B$11=0,$B$5*12*A60,$B$5*((1+$B$11)^(12*A60)-1)/$B$11*(1+$B$11))</f>
        <v>7320718.36518396</v>
      </c>
      <c r="D60" s="16" t="n">
        <f aca="false">IF($B$12=0,$B$5*12*A60,$B$5*((1+$B$12)^(12*A60)-1)/$B$12*(1+$B$12))</f>
        <v>4488015.16178628</v>
      </c>
      <c r="E60" s="16" t="n">
        <f aca="false">C60-D60</f>
        <v>2832703.20339768</v>
      </c>
    </row>
    <row r="62" customFormat="false" ht="15" hidden="false" customHeight="false" outlineLevel="0" collapsed="false">
      <c r="A62" s="2" t="s">
        <v>23</v>
      </c>
    </row>
  </sheetData>
  <conditionalFormatting sqref="A21:E60">
    <cfRule type="expression" priority="2" aboveAverage="0" equalAverage="0" bottom="0" percent="0" rank="0" text="" dxfId="0">
      <formula>$A21=$B$9</formula>
    </cfRule>
  </conditionalFormatting>
  <dataValidations count="1">
    <dataValidation allowBlank="false" error="Zadejte 1 až 40 let." errorStyle="stop" operator="between" showDropDown="false" showErrorMessage="true" showInputMessage="false" sqref="B9" type="whole">
      <formula1>1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20"/>
    <col collapsed="false" customWidth="true" hidden="false" outlineLevel="0" max="10" min="10" style="0" width="60"/>
  </cols>
  <sheetData>
    <row r="1" customFormat="false" ht="22.0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17" t="s">
        <v>26</v>
      </c>
      <c r="B4" s="17" t="s">
        <v>27</v>
      </c>
      <c r="C4" s="17" t="s">
        <v>28</v>
      </c>
      <c r="D4" s="17" t="s">
        <v>29</v>
      </c>
      <c r="E4" s="17" t="s">
        <v>30</v>
      </c>
      <c r="F4" s="17" t="s">
        <v>31</v>
      </c>
      <c r="G4" s="17" t="s">
        <v>32</v>
      </c>
      <c r="H4" s="17" t="s">
        <v>33</v>
      </c>
      <c r="I4" s="17" t="s">
        <v>34</v>
      </c>
      <c r="J4" s="17" t="s">
        <v>35</v>
      </c>
    </row>
    <row r="5" customFormat="false" ht="15" hidden="false" customHeight="false" outlineLevel="0" collapsed="false">
      <c r="A5" s="18" t="s">
        <v>36</v>
      </c>
      <c r="B5" s="19" t="s">
        <v>37</v>
      </c>
      <c r="C5" s="20" t="n">
        <v>0.0003</v>
      </c>
      <c r="D5" s="19" t="s">
        <v>38</v>
      </c>
      <c r="E5" s="19" t="s">
        <v>39</v>
      </c>
      <c r="F5" s="18" t="s">
        <v>40</v>
      </c>
      <c r="G5" s="20" t="n">
        <v>0.0007</v>
      </c>
      <c r="H5" s="19" t="s">
        <v>41</v>
      </c>
      <c r="I5" s="19" t="s">
        <v>42</v>
      </c>
      <c r="J5" s="19" t="s">
        <v>43</v>
      </c>
    </row>
    <row r="6" customFormat="false" ht="15" hidden="false" customHeight="false" outlineLevel="0" collapsed="false">
      <c r="A6" s="18" t="s">
        <v>44</v>
      </c>
      <c r="B6" s="19" t="s">
        <v>37</v>
      </c>
      <c r="C6" s="20" t="n">
        <v>0.000945</v>
      </c>
      <c r="D6" s="19" t="s">
        <v>45</v>
      </c>
      <c r="E6" s="19" t="s">
        <v>46</v>
      </c>
      <c r="F6" s="18" t="s">
        <v>47</v>
      </c>
      <c r="G6" s="20" t="n">
        <v>0.0007</v>
      </c>
      <c r="H6" s="19" t="s">
        <v>41</v>
      </c>
      <c r="I6" s="19" t="s">
        <v>42</v>
      </c>
      <c r="J6" s="19" t="s">
        <v>48</v>
      </c>
    </row>
    <row r="7" customFormat="false" ht="15" hidden="false" customHeight="false" outlineLevel="0" collapsed="false">
      <c r="A7" s="18" t="s">
        <v>49</v>
      </c>
      <c r="B7" s="19" t="s">
        <v>37</v>
      </c>
      <c r="C7" s="20" t="n">
        <v>0.0003</v>
      </c>
      <c r="D7" s="19" t="s">
        <v>45</v>
      </c>
      <c r="E7" s="19" t="s">
        <v>46</v>
      </c>
      <c r="F7" s="18" t="s">
        <v>47</v>
      </c>
      <c r="G7" s="20" t="n">
        <v>0.0007</v>
      </c>
      <c r="H7" s="19" t="s">
        <v>41</v>
      </c>
      <c r="I7" s="19" t="s">
        <v>42</v>
      </c>
      <c r="J7" s="19" t="s">
        <v>48</v>
      </c>
    </row>
    <row r="8" customFormat="false" ht="15" hidden="false" customHeight="false" outlineLevel="0" collapsed="false">
      <c r="A8" s="18" t="s">
        <v>50</v>
      </c>
      <c r="B8" s="19" t="s">
        <v>51</v>
      </c>
      <c r="C8" s="20" t="n">
        <v>0.0003</v>
      </c>
      <c r="D8" s="19" t="s">
        <v>52</v>
      </c>
      <c r="E8" s="19" t="s">
        <v>53</v>
      </c>
      <c r="F8" s="18" t="s">
        <v>54</v>
      </c>
      <c r="G8" s="20" t="n">
        <v>0.0005</v>
      </c>
      <c r="H8" s="19" t="s">
        <v>41</v>
      </c>
      <c r="I8" s="19" t="s">
        <v>55</v>
      </c>
      <c r="J8" s="19" t="s">
        <v>56</v>
      </c>
    </row>
    <row r="9" customFormat="false" ht="15" hidden="false" customHeight="false" outlineLevel="0" collapsed="false">
      <c r="A9" s="18" t="s">
        <v>57</v>
      </c>
      <c r="B9" s="19" t="s">
        <v>58</v>
      </c>
      <c r="C9" s="20" t="n">
        <v>0.0006</v>
      </c>
      <c r="D9" s="19" t="s">
        <v>59</v>
      </c>
      <c r="E9" s="19" t="s">
        <v>60</v>
      </c>
      <c r="F9" s="18" t="s">
        <v>61</v>
      </c>
      <c r="G9" s="20" t="n">
        <v>0.0014</v>
      </c>
      <c r="H9" s="19" t="s">
        <v>41</v>
      </c>
      <c r="I9" s="19" t="s">
        <v>42</v>
      </c>
      <c r="J9" s="19" t="s">
        <v>62</v>
      </c>
    </row>
    <row r="10" customFormat="false" ht="15" hidden="false" customHeight="false" outlineLevel="0" collapsed="false">
      <c r="A10" s="18" t="s">
        <v>63</v>
      </c>
      <c r="B10" s="19" t="s">
        <v>64</v>
      </c>
      <c r="C10" s="20" t="n">
        <v>0.0003</v>
      </c>
      <c r="D10" s="19" t="s">
        <v>65</v>
      </c>
      <c r="E10" s="19"/>
      <c r="F10" s="18" t="s">
        <v>66</v>
      </c>
      <c r="G10" s="20" t="n">
        <v>0.0015</v>
      </c>
      <c r="H10" s="19" t="s">
        <v>41</v>
      </c>
      <c r="I10" s="19" t="s">
        <v>55</v>
      </c>
      <c r="J10" s="19" t="s">
        <v>67</v>
      </c>
    </row>
    <row r="11" customFormat="false" ht="15" hidden="false" customHeight="false" outlineLevel="0" collapsed="false">
      <c r="A11" s="18" t="s">
        <v>68</v>
      </c>
      <c r="B11" s="19" t="s">
        <v>69</v>
      </c>
      <c r="C11" s="20" t="n">
        <v>0.0006</v>
      </c>
      <c r="D11" s="19" t="s">
        <v>70</v>
      </c>
      <c r="E11" s="19" t="s">
        <v>71</v>
      </c>
      <c r="F11" s="18" t="s">
        <v>72</v>
      </c>
      <c r="G11" s="20" t="n">
        <v>0.0018</v>
      </c>
      <c r="H11" s="19" t="s">
        <v>41</v>
      </c>
      <c r="I11" s="19" t="s">
        <v>55</v>
      </c>
      <c r="J11" s="19" t="s">
        <v>73</v>
      </c>
    </row>
    <row r="12" customFormat="false" ht="15" hidden="false" customHeight="false" outlineLevel="0" collapsed="false">
      <c r="A12" s="18" t="s">
        <v>74</v>
      </c>
      <c r="B12" s="19" t="s">
        <v>75</v>
      </c>
      <c r="C12" s="20" t="n">
        <v>0.0006</v>
      </c>
      <c r="D12" s="19" t="s">
        <v>76</v>
      </c>
      <c r="E12" s="19" t="s">
        <v>77</v>
      </c>
      <c r="F12" s="18" t="s">
        <v>78</v>
      </c>
      <c r="G12" s="20" t="n">
        <v>0.0035</v>
      </c>
      <c r="H12" s="19" t="s">
        <v>79</v>
      </c>
      <c r="I12" s="19" t="s">
        <v>55</v>
      </c>
      <c r="J12" s="19" t="s">
        <v>80</v>
      </c>
    </row>
    <row r="13" customFormat="false" ht="15" hidden="false" customHeight="false" outlineLevel="0" collapsed="false">
      <c r="A13" s="18" t="s">
        <v>81</v>
      </c>
      <c r="B13" s="19" t="s">
        <v>82</v>
      </c>
      <c r="C13" s="20" t="n">
        <v>0.0004</v>
      </c>
      <c r="D13" s="19" t="s">
        <v>83</v>
      </c>
      <c r="E13" s="19" t="s">
        <v>84</v>
      </c>
      <c r="F13" s="18" t="s">
        <v>85</v>
      </c>
      <c r="G13" s="20" t="n">
        <v>0.0033</v>
      </c>
      <c r="H13" s="19" t="s">
        <v>41</v>
      </c>
      <c r="I13" s="19" t="s">
        <v>55</v>
      </c>
      <c r="J13" s="19" t="s">
        <v>86</v>
      </c>
    </row>
    <row r="14" customFormat="false" ht="15" hidden="false" customHeight="false" outlineLevel="0" collapsed="false">
      <c r="A14" s="18" t="s">
        <v>87</v>
      </c>
      <c r="B14" s="19" t="s">
        <v>88</v>
      </c>
      <c r="C14" s="20" t="n">
        <v>0.0013</v>
      </c>
      <c r="D14" s="19" t="s">
        <v>89</v>
      </c>
      <c r="E14" s="19" t="s">
        <v>90</v>
      </c>
      <c r="F14" s="18" t="s">
        <v>91</v>
      </c>
      <c r="G14" s="20" t="n">
        <v>0.004</v>
      </c>
      <c r="H14" s="19" t="s">
        <v>79</v>
      </c>
      <c r="I14" s="19" t="s">
        <v>55</v>
      </c>
      <c r="J14" s="19" t="s">
        <v>92</v>
      </c>
    </row>
    <row r="15" customFormat="false" ht="15" hidden="false" customHeight="false" outlineLevel="0" collapsed="false">
      <c r="A15" s="18" t="s">
        <v>93</v>
      </c>
      <c r="B15" s="19" t="s">
        <v>94</v>
      </c>
      <c r="C15" s="20" t="n">
        <v>0.004</v>
      </c>
      <c r="D15" s="19" t="s">
        <v>95</v>
      </c>
      <c r="E15" s="19" t="s">
        <v>96</v>
      </c>
      <c r="F15" s="18" t="s">
        <v>97</v>
      </c>
      <c r="G15" s="20" t="n">
        <v>0.0012</v>
      </c>
      <c r="H15" s="19" t="s">
        <v>41</v>
      </c>
      <c r="I15" s="19" t="s">
        <v>42</v>
      </c>
      <c r="J15" s="19" t="s">
        <v>98</v>
      </c>
    </row>
    <row r="16" customFormat="false" ht="15" hidden="false" customHeight="false" outlineLevel="0" collapsed="false">
      <c r="A16" s="18" t="s">
        <v>99</v>
      </c>
      <c r="B16" s="19" t="s">
        <v>100</v>
      </c>
      <c r="C16" s="20" t="n">
        <v>0.0003</v>
      </c>
      <c r="D16" s="19" t="s">
        <v>101</v>
      </c>
      <c r="E16" s="19" t="s">
        <v>102</v>
      </c>
      <c r="F16" s="18" t="s">
        <v>103</v>
      </c>
      <c r="G16" s="20" t="n">
        <v>0.0025</v>
      </c>
      <c r="H16" s="19" t="s">
        <v>79</v>
      </c>
      <c r="I16" s="19" t="s">
        <v>42</v>
      </c>
      <c r="J16" s="19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22.0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17" t="s">
        <v>107</v>
      </c>
      <c r="B4" s="17" t="s">
        <v>108</v>
      </c>
      <c r="C4" s="17" t="s">
        <v>31</v>
      </c>
      <c r="D4" s="17" t="s">
        <v>109</v>
      </c>
      <c r="E4" s="17" t="s">
        <v>110</v>
      </c>
      <c r="F4" s="17" t="s">
        <v>111</v>
      </c>
      <c r="G4" s="17" t="s">
        <v>112</v>
      </c>
      <c r="H4" s="17" t="s">
        <v>113</v>
      </c>
    </row>
    <row r="5" customFormat="false" ht="15" hidden="false" customHeight="false" outlineLevel="0" collapsed="false">
      <c r="A5" s="21" t="n">
        <v>46310</v>
      </c>
      <c r="B5" s="22" t="s">
        <v>39</v>
      </c>
      <c r="C5" s="22" t="s">
        <v>40</v>
      </c>
      <c r="D5" s="22" t="n">
        <v>2</v>
      </c>
      <c r="E5" s="23" t="n">
        <v>118.5</v>
      </c>
      <c r="F5" s="24" t="n">
        <f aca="false">IF(OR(D5="",E5=""),"",D5*E5)</f>
        <v>237</v>
      </c>
      <c r="G5" s="25" t="n">
        <f aca="false">IF(A5="","",EDATE(A5,36))</f>
        <v>47406</v>
      </c>
      <c r="H5" s="19" t="str">
        <f aca="true">IF(A5="","",IF(TODAY()&gt;=G5,"osvobozeno ✓","ještě "&amp;TEXT(G5-TODAY(),"0")&amp;" dní"))</f>
        <v>ještě 1097 dní</v>
      </c>
    </row>
    <row r="6" customFormat="false" ht="15" hidden="false" customHeight="false" outlineLevel="0" collapsed="false">
      <c r="A6" s="21"/>
      <c r="B6" s="22"/>
      <c r="C6" s="22"/>
      <c r="D6" s="22"/>
      <c r="E6" s="23"/>
      <c r="F6" s="24" t="str">
        <f aca="false">IF(OR(D6="",E6=""),"",D6*E6)</f>
        <v/>
      </c>
      <c r="G6" s="25" t="str">
        <f aca="false">IF(A6="","",EDATE(A6,36))</f>
        <v/>
      </c>
      <c r="H6" s="19" t="str">
        <f aca="true">IF(A6="","",IF(TODAY()&gt;=G6,"osvobozeno ✓","ještě "&amp;TEXT(G6-TODAY(),"0")&amp;" dní"))</f>
        <v/>
      </c>
    </row>
    <row r="7" customFormat="false" ht="15" hidden="false" customHeight="false" outlineLevel="0" collapsed="false">
      <c r="A7" s="21"/>
      <c r="B7" s="22"/>
      <c r="C7" s="22"/>
      <c r="D7" s="22"/>
      <c r="E7" s="23"/>
      <c r="F7" s="24" t="str">
        <f aca="false">IF(OR(D7="",E7=""),"",D7*E7)</f>
        <v/>
      </c>
      <c r="G7" s="25" t="str">
        <f aca="false">IF(A7="","",EDATE(A7,36))</f>
        <v/>
      </c>
      <c r="H7" s="19" t="str">
        <f aca="true">IF(A7="","",IF(TODAY()&gt;=G7,"osvobozeno ✓","ještě "&amp;TEXT(G7-TODAY(),"0")&amp;" dní"))</f>
        <v/>
      </c>
    </row>
    <row r="8" customFormat="false" ht="15" hidden="false" customHeight="false" outlineLevel="0" collapsed="false">
      <c r="A8" s="21"/>
      <c r="B8" s="22"/>
      <c r="C8" s="22"/>
      <c r="D8" s="22"/>
      <c r="E8" s="23"/>
      <c r="F8" s="24" t="str">
        <f aca="false">IF(OR(D8="",E8=""),"",D8*E8)</f>
        <v/>
      </c>
      <c r="G8" s="25" t="str">
        <f aca="false">IF(A8="","",EDATE(A8,36))</f>
        <v/>
      </c>
      <c r="H8" s="19" t="str">
        <f aca="true">IF(A8="","",IF(TODAY()&gt;=G8,"osvobozeno ✓","ještě "&amp;TEXT(G8-TODAY(),"0")&amp;" dní"))</f>
        <v/>
      </c>
    </row>
    <row r="9" customFormat="false" ht="15" hidden="false" customHeight="false" outlineLevel="0" collapsed="false">
      <c r="A9" s="21"/>
      <c r="B9" s="22"/>
      <c r="C9" s="22"/>
      <c r="D9" s="22"/>
      <c r="E9" s="23"/>
      <c r="F9" s="24" t="str">
        <f aca="false">IF(OR(D9="",E9=""),"",D9*E9)</f>
        <v/>
      </c>
      <c r="G9" s="25" t="str">
        <f aca="false">IF(A9="","",EDATE(A9,36))</f>
        <v/>
      </c>
      <c r="H9" s="19" t="str">
        <f aca="true">IF(A9="","",IF(TODAY()&gt;=G9,"osvobozeno ✓","ještě "&amp;TEXT(G9-TODAY(),"0")&amp;" dní"))</f>
        <v/>
      </c>
    </row>
    <row r="10" customFormat="false" ht="15" hidden="false" customHeight="false" outlineLevel="0" collapsed="false">
      <c r="A10" s="21"/>
      <c r="B10" s="22"/>
      <c r="C10" s="22"/>
      <c r="D10" s="22"/>
      <c r="E10" s="23"/>
      <c r="F10" s="24" t="str">
        <f aca="false">IF(OR(D10="",E10=""),"",D10*E10)</f>
        <v/>
      </c>
      <c r="G10" s="25" t="str">
        <f aca="false">IF(A10="","",EDATE(A10,36))</f>
        <v/>
      </c>
      <c r="H10" s="19" t="str">
        <f aca="true">IF(A10="","",IF(TODAY()&gt;=G10,"osvobozeno ✓","ještě "&amp;TEXT(G10-TODAY(),"0")&amp;" dní"))</f>
        <v/>
      </c>
    </row>
    <row r="11" customFormat="false" ht="15" hidden="false" customHeight="false" outlineLevel="0" collapsed="false">
      <c r="A11" s="21"/>
      <c r="B11" s="22"/>
      <c r="C11" s="22"/>
      <c r="D11" s="22"/>
      <c r="E11" s="23"/>
      <c r="F11" s="24" t="str">
        <f aca="false">IF(OR(D11="",E11=""),"",D11*E11)</f>
        <v/>
      </c>
      <c r="G11" s="25" t="str">
        <f aca="false">IF(A11="","",EDATE(A11,36))</f>
        <v/>
      </c>
      <c r="H11" s="19" t="str">
        <f aca="true">IF(A11="","",IF(TODAY()&gt;=G11,"osvobozeno ✓","ještě "&amp;TEXT(G11-TODAY(),"0")&amp;" dní"))</f>
        <v/>
      </c>
    </row>
    <row r="12" customFormat="false" ht="15" hidden="false" customHeight="false" outlineLevel="0" collapsed="false">
      <c r="A12" s="21"/>
      <c r="B12" s="22"/>
      <c r="C12" s="22"/>
      <c r="D12" s="22"/>
      <c r="E12" s="23"/>
      <c r="F12" s="24" t="str">
        <f aca="false">IF(OR(D12="",E12=""),"",D12*E12)</f>
        <v/>
      </c>
      <c r="G12" s="25" t="str">
        <f aca="false">IF(A12="","",EDATE(A12,36))</f>
        <v/>
      </c>
      <c r="H12" s="19" t="str">
        <f aca="true">IF(A12="","",IF(TODAY()&gt;=G12,"osvobozeno ✓","ještě "&amp;TEXT(G12-TODAY(),"0")&amp;" dní"))</f>
        <v/>
      </c>
    </row>
    <row r="13" customFormat="false" ht="15" hidden="false" customHeight="false" outlineLevel="0" collapsed="false">
      <c r="A13" s="21"/>
      <c r="B13" s="22"/>
      <c r="C13" s="22"/>
      <c r="D13" s="22"/>
      <c r="E13" s="23"/>
      <c r="F13" s="24" t="str">
        <f aca="false">IF(OR(D13="",E13=""),"",D13*E13)</f>
        <v/>
      </c>
      <c r="G13" s="25" t="str">
        <f aca="false">IF(A13="","",EDATE(A13,36))</f>
        <v/>
      </c>
      <c r="H13" s="19" t="str">
        <f aca="true">IF(A13="","",IF(TODAY()&gt;=G13,"osvobozeno ✓","ještě "&amp;TEXT(G13-TODAY(),"0")&amp;" dní"))</f>
        <v/>
      </c>
    </row>
    <row r="14" customFormat="false" ht="15" hidden="false" customHeight="false" outlineLevel="0" collapsed="false">
      <c r="A14" s="21"/>
      <c r="B14" s="22"/>
      <c r="C14" s="22"/>
      <c r="D14" s="22"/>
      <c r="E14" s="23"/>
      <c r="F14" s="24" t="str">
        <f aca="false">IF(OR(D14="",E14=""),"",D14*E14)</f>
        <v/>
      </c>
      <c r="G14" s="25" t="str">
        <f aca="false">IF(A14="","",EDATE(A14,36))</f>
        <v/>
      </c>
      <c r="H14" s="19" t="str">
        <f aca="true">IF(A14="","",IF(TODAY()&gt;=G14,"osvobozeno ✓","ještě "&amp;TEXT(G14-TODAY(),"0")&amp;" dní"))</f>
        <v/>
      </c>
    </row>
    <row r="15" customFormat="false" ht="15" hidden="false" customHeight="false" outlineLevel="0" collapsed="false">
      <c r="A15" s="21"/>
      <c r="B15" s="22"/>
      <c r="C15" s="22"/>
      <c r="D15" s="22"/>
      <c r="E15" s="23"/>
      <c r="F15" s="24" t="str">
        <f aca="false">IF(OR(D15="",E15=""),"",D15*E15)</f>
        <v/>
      </c>
      <c r="G15" s="25" t="str">
        <f aca="false">IF(A15="","",EDATE(A15,36))</f>
        <v/>
      </c>
      <c r="H15" s="19" t="str">
        <f aca="true">IF(A15="","",IF(TODAY()&gt;=G15,"osvobozeno ✓","ještě "&amp;TEXT(G15-TODAY(),"0")&amp;" dní"))</f>
        <v/>
      </c>
    </row>
    <row r="16" customFormat="false" ht="15" hidden="false" customHeight="false" outlineLevel="0" collapsed="false">
      <c r="A16" s="21"/>
      <c r="B16" s="22"/>
      <c r="C16" s="22"/>
      <c r="D16" s="22"/>
      <c r="E16" s="23"/>
      <c r="F16" s="24" t="str">
        <f aca="false">IF(OR(D16="",E16=""),"",D16*E16)</f>
        <v/>
      </c>
      <c r="G16" s="25" t="str">
        <f aca="false">IF(A16="","",EDATE(A16,36))</f>
        <v/>
      </c>
      <c r="H16" s="19" t="str">
        <f aca="true">IF(A16="","",IF(TODAY()&gt;=G16,"osvobozeno ✓","ještě "&amp;TEXT(G16-TODAY(),"0")&amp;" dní"))</f>
        <v/>
      </c>
    </row>
    <row r="17" customFormat="false" ht="15" hidden="false" customHeight="false" outlineLevel="0" collapsed="false">
      <c r="A17" s="21"/>
      <c r="B17" s="22"/>
      <c r="C17" s="22"/>
      <c r="D17" s="22"/>
      <c r="E17" s="23"/>
      <c r="F17" s="24" t="str">
        <f aca="false">IF(OR(D17="",E17=""),"",D17*E17)</f>
        <v/>
      </c>
      <c r="G17" s="25" t="str">
        <f aca="false">IF(A17="","",EDATE(A17,36))</f>
        <v/>
      </c>
      <c r="H17" s="19" t="str">
        <f aca="true">IF(A17="","",IF(TODAY()&gt;=G17,"osvobozeno ✓","ještě "&amp;TEXT(G17-TODAY(),"0")&amp;" dní"))</f>
        <v/>
      </c>
    </row>
    <row r="18" customFormat="false" ht="15" hidden="false" customHeight="false" outlineLevel="0" collapsed="false">
      <c r="A18" s="21"/>
      <c r="B18" s="22"/>
      <c r="C18" s="22"/>
      <c r="D18" s="22"/>
      <c r="E18" s="23"/>
      <c r="F18" s="24" t="str">
        <f aca="false">IF(OR(D18="",E18=""),"",D18*E18)</f>
        <v/>
      </c>
      <c r="G18" s="25" t="str">
        <f aca="false">IF(A18="","",EDATE(A18,36))</f>
        <v/>
      </c>
      <c r="H18" s="19" t="str">
        <f aca="true">IF(A18="","",IF(TODAY()&gt;=G18,"osvobozeno ✓","ještě "&amp;TEXT(G18-TODAY(),"0")&amp;" dní"))</f>
        <v/>
      </c>
    </row>
    <row r="19" customFormat="false" ht="15" hidden="false" customHeight="false" outlineLevel="0" collapsed="false">
      <c r="A19" s="21"/>
      <c r="B19" s="22"/>
      <c r="C19" s="22"/>
      <c r="D19" s="22"/>
      <c r="E19" s="23"/>
      <c r="F19" s="24" t="str">
        <f aca="false">IF(OR(D19="",E19=""),"",D19*E19)</f>
        <v/>
      </c>
      <c r="G19" s="25" t="str">
        <f aca="false">IF(A19="","",EDATE(A19,36))</f>
        <v/>
      </c>
      <c r="H19" s="19" t="str">
        <f aca="true">IF(A19="","",IF(TODAY()&gt;=G19,"osvobozeno ✓","ještě "&amp;TEXT(G19-TODAY(),"0")&amp;" dní"))</f>
        <v/>
      </c>
    </row>
    <row r="20" customFormat="false" ht="15" hidden="false" customHeight="false" outlineLevel="0" collapsed="false">
      <c r="A20" s="21"/>
      <c r="B20" s="22"/>
      <c r="C20" s="22"/>
      <c r="D20" s="22"/>
      <c r="E20" s="23"/>
      <c r="F20" s="24" t="str">
        <f aca="false">IF(OR(D20="",E20=""),"",D20*E20)</f>
        <v/>
      </c>
      <c r="G20" s="25" t="str">
        <f aca="false">IF(A20="","",EDATE(A20,36))</f>
        <v/>
      </c>
      <c r="H20" s="19" t="str">
        <f aca="true">IF(A20="","",IF(TODAY()&gt;=G20,"osvobozeno ✓","ještě "&amp;TEXT(G20-TODAY(),"0")&amp;" dní"))</f>
        <v/>
      </c>
    </row>
    <row r="21" customFormat="false" ht="15" hidden="false" customHeight="false" outlineLevel="0" collapsed="false">
      <c r="A21" s="21"/>
      <c r="B21" s="22"/>
      <c r="C21" s="22"/>
      <c r="D21" s="22"/>
      <c r="E21" s="23"/>
      <c r="F21" s="24" t="str">
        <f aca="false">IF(OR(D21="",E21=""),"",D21*E21)</f>
        <v/>
      </c>
      <c r="G21" s="25" t="str">
        <f aca="false">IF(A21="","",EDATE(A21,36))</f>
        <v/>
      </c>
      <c r="H21" s="19" t="str">
        <f aca="true">IF(A21="","",IF(TODAY()&gt;=G21,"osvobozeno ✓","ještě "&amp;TEXT(G21-TODAY(),"0")&amp;" dní"))</f>
        <v/>
      </c>
    </row>
    <row r="22" customFormat="false" ht="15" hidden="false" customHeight="false" outlineLevel="0" collapsed="false">
      <c r="A22" s="21"/>
      <c r="B22" s="22"/>
      <c r="C22" s="22"/>
      <c r="D22" s="22"/>
      <c r="E22" s="23"/>
      <c r="F22" s="24" t="str">
        <f aca="false">IF(OR(D22="",E22=""),"",D22*E22)</f>
        <v/>
      </c>
      <c r="G22" s="25" t="str">
        <f aca="false">IF(A22="","",EDATE(A22,36))</f>
        <v/>
      </c>
      <c r="H22" s="19" t="str">
        <f aca="true">IF(A22="","",IF(TODAY()&gt;=G22,"osvobozeno ✓","ještě "&amp;TEXT(G22-TODAY(),"0")&amp;" dní"))</f>
        <v/>
      </c>
    </row>
    <row r="23" customFormat="false" ht="15" hidden="false" customHeight="false" outlineLevel="0" collapsed="false">
      <c r="A23" s="21"/>
      <c r="B23" s="22"/>
      <c r="C23" s="22"/>
      <c r="D23" s="22"/>
      <c r="E23" s="23"/>
      <c r="F23" s="24" t="str">
        <f aca="false">IF(OR(D23="",E23=""),"",D23*E23)</f>
        <v/>
      </c>
      <c r="G23" s="25" t="str">
        <f aca="false">IF(A23="","",EDATE(A23,36))</f>
        <v/>
      </c>
      <c r="H23" s="19" t="str">
        <f aca="true">IF(A23="","",IF(TODAY()&gt;=G23,"osvobozeno ✓","ještě "&amp;TEXT(G23-TODAY(),"0")&amp;" dní"))</f>
        <v/>
      </c>
    </row>
    <row r="24" customFormat="false" ht="15" hidden="false" customHeight="false" outlineLevel="0" collapsed="false">
      <c r="A24" s="21"/>
      <c r="B24" s="22"/>
      <c r="C24" s="22"/>
      <c r="D24" s="22"/>
      <c r="E24" s="23"/>
      <c r="F24" s="24" t="str">
        <f aca="false">IF(OR(D24="",E24=""),"",D24*E24)</f>
        <v/>
      </c>
      <c r="G24" s="25" t="str">
        <f aca="false">IF(A24="","",EDATE(A24,36))</f>
        <v/>
      </c>
      <c r="H24" s="19" t="str">
        <f aca="true">IF(A24="","",IF(TODAY()&gt;=G24,"osvobozeno ✓","ještě "&amp;TEXT(G24-TODAY(),"0")&amp;" dní"))</f>
        <v/>
      </c>
    </row>
    <row r="25" customFormat="false" ht="15" hidden="false" customHeight="false" outlineLevel="0" collapsed="false">
      <c r="A25" s="21"/>
      <c r="B25" s="22"/>
      <c r="C25" s="22"/>
      <c r="D25" s="22"/>
      <c r="E25" s="23"/>
      <c r="F25" s="24" t="str">
        <f aca="false">IF(OR(D25="",E25=""),"",D25*E25)</f>
        <v/>
      </c>
      <c r="G25" s="25" t="str">
        <f aca="false">IF(A25="","",EDATE(A25,36))</f>
        <v/>
      </c>
      <c r="H25" s="19" t="str">
        <f aca="true">IF(A25="","",IF(TODAY()&gt;=G25,"osvobozeno ✓","ještě "&amp;TEXT(G25-TODAY(),"0")&amp;" dní"))</f>
        <v/>
      </c>
    </row>
    <row r="26" customFormat="false" ht="15" hidden="false" customHeight="false" outlineLevel="0" collapsed="false">
      <c r="A26" s="21"/>
      <c r="B26" s="22"/>
      <c r="C26" s="22"/>
      <c r="D26" s="22"/>
      <c r="E26" s="23"/>
      <c r="F26" s="24" t="str">
        <f aca="false">IF(OR(D26="",E26=""),"",D26*E26)</f>
        <v/>
      </c>
      <c r="G26" s="25" t="str">
        <f aca="false">IF(A26="","",EDATE(A26,36))</f>
        <v/>
      </c>
      <c r="H26" s="19" t="str">
        <f aca="true">IF(A26="","",IF(TODAY()&gt;=G26,"osvobozeno ✓","ještě "&amp;TEXT(G26-TODAY(),"0")&amp;" dní"))</f>
        <v/>
      </c>
    </row>
    <row r="27" customFormat="false" ht="15" hidden="false" customHeight="false" outlineLevel="0" collapsed="false">
      <c r="A27" s="21"/>
      <c r="B27" s="22"/>
      <c r="C27" s="22"/>
      <c r="D27" s="22"/>
      <c r="E27" s="23"/>
      <c r="F27" s="24" t="str">
        <f aca="false">IF(OR(D27="",E27=""),"",D27*E27)</f>
        <v/>
      </c>
      <c r="G27" s="25" t="str">
        <f aca="false">IF(A27="","",EDATE(A27,36))</f>
        <v/>
      </c>
      <c r="H27" s="19" t="str">
        <f aca="true">IF(A27="","",IF(TODAY()&gt;=G27,"osvobozeno ✓","ještě "&amp;TEXT(G27-TODAY(),"0")&amp;" dní"))</f>
        <v/>
      </c>
    </row>
    <row r="28" customFormat="false" ht="15" hidden="false" customHeight="false" outlineLevel="0" collapsed="false">
      <c r="A28" s="21"/>
      <c r="B28" s="22"/>
      <c r="C28" s="22"/>
      <c r="D28" s="22"/>
      <c r="E28" s="23"/>
      <c r="F28" s="24" t="str">
        <f aca="false">IF(OR(D28="",E28=""),"",D28*E28)</f>
        <v/>
      </c>
      <c r="G28" s="25" t="str">
        <f aca="false">IF(A28="","",EDATE(A28,36))</f>
        <v/>
      </c>
      <c r="H28" s="19" t="str">
        <f aca="true">IF(A28="","",IF(TODAY()&gt;=G28,"osvobozeno ✓","ještě "&amp;TEXT(G28-TODAY(),"0")&amp;" dní"))</f>
        <v/>
      </c>
    </row>
    <row r="29" customFormat="false" ht="15" hidden="false" customHeight="false" outlineLevel="0" collapsed="false">
      <c r="A29" s="21"/>
      <c r="B29" s="22"/>
      <c r="C29" s="22"/>
      <c r="D29" s="22"/>
      <c r="E29" s="23"/>
      <c r="F29" s="24" t="str">
        <f aca="false">IF(OR(D29="",E29=""),"",D29*E29)</f>
        <v/>
      </c>
      <c r="G29" s="25" t="str">
        <f aca="false">IF(A29="","",EDATE(A29,36))</f>
        <v/>
      </c>
      <c r="H29" s="19" t="str">
        <f aca="true">IF(A29="","",IF(TODAY()&gt;=G29,"osvobozeno ✓","ještě "&amp;TEXT(G29-TODAY(),"0")&amp;" dní"))</f>
        <v/>
      </c>
    </row>
    <row r="30" customFormat="false" ht="15" hidden="false" customHeight="false" outlineLevel="0" collapsed="false">
      <c r="A30" s="21"/>
      <c r="B30" s="22"/>
      <c r="C30" s="22"/>
      <c r="D30" s="22"/>
      <c r="E30" s="23"/>
      <c r="F30" s="24" t="str">
        <f aca="false">IF(OR(D30="",E30=""),"",D30*E30)</f>
        <v/>
      </c>
      <c r="G30" s="25" t="str">
        <f aca="false">IF(A30="","",EDATE(A30,36))</f>
        <v/>
      </c>
      <c r="H30" s="19" t="str">
        <f aca="true">IF(A30="","",IF(TODAY()&gt;=G30,"osvobozeno ✓","ještě "&amp;TEXT(G30-TODAY(),"0")&amp;" dní"))</f>
        <v/>
      </c>
    </row>
    <row r="31" customFormat="false" ht="15" hidden="false" customHeight="false" outlineLevel="0" collapsed="false">
      <c r="A31" s="21"/>
      <c r="B31" s="22"/>
      <c r="C31" s="22"/>
      <c r="D31" s="22"/>
      <c r="E31" s="23"/>
      <c r="F31" s="24" t="str">
        <f aca="false">IF(OR(D31="",E31=""),"",D31*E31)</f>
        <v/>
      </c>
      <c r="G31" s="25" t="str">
        <f aca="false">IF(A31="","",EDATE(A31,36))</f>
        <v/>
      </c>
      <c r="H31" s="19" t="str">
        <f aca="true">IF(A31="","",IF(TODAY()&gt;=G31,"osvobozeno ✓","ještě "&amp;TEXT(G31-TODAY(),"0")&amp;" dní"))</f>
        <v/>
      </c>
    </row>
    <row r="32" customFormat="false" ht="15" hidden="false" customHeight="false" outlineLevel="0" collapsed="false">
      <c r="A32" s="21"/>
      <c r="B32" s="22"/>
      <c r="C32" s="22"/>
      <c r="D32" s="22"/>
      <c r="E32" s="23"/>
      <c r="F32" s="24" t="str">
        <f aca="false">IF(OR(D32="",E32=""),"",D32*E32)</f>
        <v/>
      </c>
      <c r="G32" s="25" t="str">
        <f aca="false">IF(A32="","",EDATE(A32,36))</f>
        <v/>
      </c>
      <c r="H32" s="19" t="str">
        <f aca="true">IF(A32="","",IF(TODAY()&gt;=G32,"osvobozeno ✓","ještě "&amp;TEXT(G32-TODAY(),"0")&amp;" dní"))</f>
        <v/>
      </c>
    </row>
    <row r="33" customFormat="false" ht="15" hidden="false" customHeight="false" outlineLevel="0" collapsed="false">
      <c r="A33" s="21"/>
      <c r="B33" s="22"/>
      <c r="C33" s="22"/>
      <c r="D33" s="22"/>
      <c r="E33" s="23"/>
      <c r="F33" s="24" t="str">
        <f aca="false">IF(OR(D33="",E33=""),"",D33*E33)</f>
        <v/>
      </c>
      <c r="G33" s="25" t="str">
        <f aca="false">IF(A33="","",EDATE(A33,36))</f>
        <v/>
      </c>
      <c r="H33" s="19" t="str">
        <f aca="true">IF(A33="","",IF(TODAY()&gt;=G33,"osvobozeno ✓","ještě "&amp;TEXT(G33-TODAY(),"0")&amp;" dní"))</f>
        <v/>
      </c>
    </row>
    <row r="34" customFormat="false" ht="15" hidden="false" customHeight="false" outlineLevel="0" collapsed="false">
      <c r="A34" s="21"/>
      <c r="B34" s="22"/>
      <c r="C34" s="22"/>
      <c r="D34" s="22"/>
      <c r="E34" s="23"/>
      <c r="F34" s="24" t="str">
        <f aca="false">IF(OR(D34="",E34=""),"",D34*E34)</f>
        <v/>
      </c>
      <c r="G34" s="25" t="str">
        <f aca="false">IF(A34="","",EDATE(A34,36))</f>
        <v/>
      </c>
      <c r="H34" s="19" t="str">
        <f aca="true">IF(A34="","",IF(TODAY()&gt;=G34,"osvobozeno ✓","ještě "&amp;TEXT(G34-TODAY(),"0")&amp;" dní"))</f>
        <v/>
      </c>
    </row>
    <row r="35" customFormat="false" ht="15" hidden="false" customHeight="false" outlineLevel="0" collapsed="false">
      <c r="A35" s="21"/>
      <c r="B35" s="22"/>
      <c r="C35" s="22"/>
      <c r="D35" s="22"/>
      <c r="E35" s="23"/>
      <c r="F35" s="24" t="str">
        <f aca="false">IF(OR(D35="",E35=""),"",D35*E35)</f>
        <v/>
      </c>
      <c r="G35" s="25" t="str">
        <f aca="false">IF(A35="","",EDATE(A35,36))</f>
        <v/>
      </c>
      <c r="H35" s="19" t="str">
        <f aca="true">IF(A35="","",IF(TODAY()&gt;=G35,"osvobozeno ✓","ještě "&amp;TEXT(G35-TODAY(),"0")&amp;" dní"))</f>
        <v/>
      </c>
    </row>
    <row r="36" customFormat="false" ht="15" hidden="false" customHeight="false" outlineLevel="0" collapsed="false">
      <c r="A36" s="21"/>
      <c r="B36" s="22"/>
      <c r="C36" s="22"/>
      <c r="D36" s="22"/>
      <c r="E36" s="23"/>
      <c r="F36" s="24" t="str">
        <f aca="false">IF(OR(D36="",E36=""),"",D36*E36)</f>
        <v/>
      </c>
      <c r="G36" s="25" t="str">
        <f aca="false">IF(A36="","",EDATE(A36,36))</f>
        <v/>
      </c>
      <c r="H36" s="19" t="str">
        <f aca="true">IF(A36="","",IF(TODAY()&gt;=G36,"osvobozeno ✓","ještě "&amp;TEXT(G36-TODAY(),"0")&amp;" dní"))</f>
        <v/>
      </c>
    </row>
    <row r="37" customFormat="false" ht="15" hidden="false" customHeight="false" outlineLevel="0" collapsed="false">
      <c r="A37" s="21"/>
      <c r="B37" s="22"/>
      <c r="C37" s="22"/>
      <c r="D37" s="22"/>
      <c r="E37" s="23"/>
      <c r="F37" s="24" t="str">
        <f aca="false">IF(OR(D37="",E37=""),"",D37*E37)</f>
        <v/>
      </c>
      <c r="G37" s="25" t="str">
        <f aca="false">IF(A37="","",EDATE(A37,36))</f>
        <v/>
      </c>
      <c r="H37" s="19" t="str">
        <f aca="true">IF(A37="","",IF(TODAY()&gt;=G37,"osvobozeno ✓","ještě "&amp;TEXT(G37-TODAY(),"0")&amp;" dní"))</f>
        <v/>
      </c>
    </row>
    <row r="38" customFormat="false" ht="15" hidden="false" customHeight="false" outlineLevel="0" collapsed="false">
      <c r="A38" s="21"/>
      <c r="B38" s="22"/>
      <c r="C38" s="22"/>
      <c r="D38" s="22"/>
      <c r="E38" s="23"/>
      <c r="F38" s="24" t="str">
        <f aca="false">IF(OR(D38="",E38=""),"",D38*E38)</f>
        <v/>
      </c>
      <c r="G38" s="25" t="str">
        <f aca="false">IF(A38="","",EDATE(A38,36))</f>
        <v/>
      </c>
      <c r="H38" s="19" t="str">
        <f aca="true">IF(A38="","",IF(TODAY()&gt;=G38,"osvobozeno ✓","ještě "&amp;TEXT(G38-TODAY(),"0")&amp;" dní"))</f>
        <v/>
      </c>
    </row>
    <row r="39" customFormat="false" ht="15" hidden="false" customHeight="false" outlineLevel="0" collapsed="false">
      <c r="A39" s="21"/>
      <c r="B39" s="22"/>
      <c r="C39" s="22"/>
      <c r="D39" s="22"/>
      <c r="E39" s="23"/>
      <c r="F39" s="24" t="str">
        <f aca="false">IF(OR(D39="",E39=""),"",D39*E39)</f>
        <v/>
      </c>
      <c r="G39" s="25" t="str">
        <f aca="false">IF(A39="","",EDATE(A39,36))</f>
        <v/>
      </c>
      <c r="H39" s="19" t="str">
        <f aca="true">IF(A39="","",IF(TODAY()&gt;=G39,"osvobozeno ✓","ještě "&amp;TEXT(G39-TODAY(),"0")&amp;" dní"))</f>
        <v/>
      </c>
    </row>
    <row r="40" customFormat="false" ht="15" hidden="false" customHeight="false" outlineLevel="0" collapsed="false">
      <c r="A40" s="21"/>
      <c r="B40" s="22"/>
      <c r="C40" s="22"/>
      <c r="D40" s="22"/>
      <c r="E40" s="23"/>
      <c r="F40" s="24" t="str">
        <f aca="false">IF(OR(D40="",E40=""),"",D40*E40)</f>
        <v/>
      </c>
      <c r="G40" s="25" t="str">
        <f aca="false">IF(A40="","",EDATE(A40,36))</f>
        <v/>
      </c>
      <c r="H40" s="19" t="str">
        <f aca="true">IF(A40="","",IF(TODAY()&gt;=G40,"osvobozeno ✓","ještě "&amp;TEXT(G40-TODAY(),"0")&amp;" dní"))</f>
        <v/>
      </c>
    </row>
    <row r="41" customFormat="false" ht="15" hidden="false" customHeight="false" outlineLevel="0" collapsed="false">
      <c r="A41" s="21"/>
      <c r="B41" s="22"/>
      <c r="C41" s="22"/>
      <c r="D41" s="22"/>
      <c r="E41" s="23"/>
      <c r="F41" s="24" t="str">
        <f aca="false">IF(OR(D41="",E41=""),"",D41*E41)</f>
        <v/>
      </c>
      <c r="G41" s="25" t="str">
        <f aca="false">IF(A41="","",EDATE(A41,36))</f>
        <v/>
      </c>
      <c r="H41" s="19" t="str">
        <f aca="true">IF(A41="","",IF(TODAY()&gt;=G41,"osvobozeno ✓","ještě "&amp;TEXT(G41-TODAY(),"0")&amp;" dní"))</f>
        <v/>
      </c>
    </row>
    <row r="42" customFormat="false" ht="15" hidden="false" customHeight="false" outlineLevel="0" collapsed="false">
      <c r="A42" s="21"/>
      <c r="B42" s="22"/>
      <c r="C42" s="22"/>
      <c r="D42" s="22"/>
      <c r="E42" s="23"/>
      <c r="F42" s="24" t="str">
        <f aca="false">IF(OR(D42="",E42=""),"",D42*E42)</f>
        <v/>
      </c>
      <c r="G42" s="25" t="str">
        <f aca="false">IF(A42="","",EDATE(A42,36))</f>
        <v/>
      </c>
      <c r="H42" s="19" t="str">
        <f aca="true">IF(A42="","",IF(TODAY()&gt;=G42,"osvobozeno ✓","ještě "&amp;TEXT(G42-TODAY(),"0")&amp;" dní"))</f>
        <v/>
      </c>
    </row>
    <row r="43" customFormat="false" ht="15" hidden="false" customHeight="false" outlineLevel="0" collapsed="false">
      <c r="A43" s="21"/>
      <c r="B43" s="22"/>
      <c r="C43" s="22"/>
      <c r="D43" s="22"/>
      <c r="E43" s="23"/>
      <c r="F43" s="24" t="str">
        <f aca="false">IF(OR(D43="",E43=""),"",D43*E43)</f>
        <v/>
      </c>
      <c r="G43" s="25" t="str">
        <f aca="false">IF(A43="","",EDATE(A43,36))</f>
        <v/>
      </c>
      <c r="H43" s="19" t="str">
        <f aca="true">IF(A43="","",IF(TODAY()&gt;=G43,"osvobozeno ✓","ještě "&amp;TEXT(G43-TODAY(),"0")&amp;" dní"))</f>
        <v/>
      </c>
    </row>
    <row r="44" customFormat="false" ht="15" hidden="false" customHeight="false" outlineLevel="0" collapsed="false">
      <c r="A44" s="21"/>
      <c r="B44" s="22"/>
      <c r="C44" s="22"/>
      <c r="D44" s="22"/>
      <c r="E44" s="23"/>
      <c r="F44" s="24" t="str">
        <f aca="false">IF(OR(D44="",E44=""),"",D44*E44)</f>
        <v/>
      </c>
      <c r="G44" s="25" t="str">
        <f aca="false">IF(A44="","",EDATE(A44,36))</f>
        <v/>
      </c>
      <c r="H44" s="19" t="str">
        <f aca="true">IF(A44="","",IF(TODAY()&gt;=G44,"osvobozeno ✓","ještě "&amp;TEXT(G44-TODAY(),"0")&amp;" dní"))</f>
        <v/>
      </c>
    </row>
    <row r="45" customFormat="false" ht="15" hidden="false" customHeight="false" outlineLevel="0" collapsed="false">
      <c r="A45" s="21"/>
      <c r="B45" s="22"/>
      <c r="C45" s="22"/>
      <c r="D45" s="22"/>
      <c r="E45" s="23"/>
      <c r="F45" s="24" t="str">
        <f aca="false">IF(OR(D45="",E45=""),"",D45*E45)</f>
        <v/>
      </c>
      <c r="G45" s="25" t="str">
        <f aca="false">IF(A45="","",EDATE(A45,36))</f>
        <v/>
      </c>
      <c r="H45" s="19" t="str">
        <f aca="true">IF(A45="","",IF(TODAY()&gt;=G45,"osvobozeno ✓","ještě "&amp;TEXT(G45-TODAY(),"0")&amp;" dní"))</f>
        <v/>
      </c>
    </row>
    <row r="46" customFormat="false" ht="15" hidden="false" customHeight="false" outlineLevel="0" collapsed="false">
      <c r="A46" s="21"/>
      <c r="B46" s="22"/>
      <c r="C46" s="22"/>
      <c r="D46" s="22"/>
      <c r="E46" s="23"/>
      <c r="F46" s="24" t="str">
        <f aca="false">IF(OR(D46="",E46=""),"",D46*E46)</f>
        <v/>
      </c>
      <c r="G46" s="25" t="str">
        <f aca="false">IF(A46="","",EDATE(A46,36))</f>
        <v/>
      </c>
      <c r="H46" s="19" t="str">
        <f aca="true">IF(A46="","",IF(TODAY()&gt;=G46,"osvobozeno ✓","ještě "&amp;TEXT(G46-TODAY(),"0")&amp;" dní"))</f>
        <v/>
      </c>
    </row>
    <row r="47" customFormat="false" ht="15" hidden="false" customHeight="false" outlineLevel="0" collapsed="false">
      <c r="A47" s="21"/>
      <c r="B47" s="22"/>
      <c r="C47" s="22"/>
      <c r="D47" s="22"/>
      <c r="E47" s="23"/>
      <c r="F47" s="24" t="str">
        <f aca="false">IF(OR(D47="",E47=""),"",D47*E47)</f>
        <v/>
      </c>
      <c r="G47" s="25" t="str">
        <f aca="false">IF(A47="","",EDATE(A47,36))</f>
        <v/>
      </c>
      <c r="H47" s="19" t="str">
        <f aca="true">IF(A47="","",IF(TODAY()&gt;=G47,"osvobozeno ✓","ještě "&amp;TEXT(G47-TODAY(),"0")&amp;" dní"))</f>
        <v/>
      </c>
    </row>
    <row r="48" customFormat="false" ht="15" hidden="false" customHeight="false" outlineLevel="0" collapsed="false">
      <c r="A48" s="21"/>
      <c r="B48" s="22"/>
      <c r="C48" s="22"/>
      <c r="D48" s="22"/>
      <c r="E48" s="23"/>
      <c r="F48" s="24" t="str">
        <f aca="false">IF(OR(D48="",E48=""),"",D48*E48)</f>
        <v/>
      </c>
      <c r="G48" s="25" t="str">
        <f aca="false">IF(A48="","",EDATE(A48,36))</f>
        <v/>
      </c>
      <c r="H48" s="19" t="str">
        <f aca="true">IF(A48="","",IF(TODAY()&gt;=G48,"osvobozeno ✓","ještě "&amp;TEXT(G48-TODAY(),"0")&amp;" dní"))</f>
        <v/>
      </c>
    </row>
    <row r="49" customFormat="false" ht="15" hidden="false" customHeight="false" outlineLevel="0" collapsed="false">
      <c r="A49" s="21"/>
      <c r="B49" s="22"/>
      <c r="C49" s="22"/>
      <c r="D49" s="22"/>
      <c r="E49" s="23"/>
      <c r="F49" s="24" t="str">
        <f aca="false">IF(OR(D49="",E49=""),"",D49*E49)</f>
        <v/>
      </c>
      <c r="G49" s="25" t="str">
        <f aca="false">IF(A49="","",EDATE(A49,36))</f>
        <v/>
      </c>
      <c r="H49" s="19" t="str">
        <f aca="true">IF(A49="","",IF(TODAY()&gt;=G49,"osvobozeno ✓","ještě "&amp;TEXT(G49-TODAY(),"0")&amp;" dní"))</f>
        <v/>
      </c>
    </row>
    <row r="50" customFormat="false" ht="15" hidden="false" customHeight="false" outlineLevel="0" collapsed="false">
      <c r="A50" s="21"/>
      <c r="B50" s="22"/>
      <c r="C50" s="22"/>
      <c r="D50" s="22"/>
      <c r="E50" s="23"/>
      <c r="F50" s="24" t="str">
        <f aca="false">IF(OR(D50="",E50=""),"",D50*E50)</f>
        <v/>
      </c>
      <c r="G50" s="25" t="str">
        <f aca="false">IF(A50="","",EDATE(A50,36))</f>
        <v/>
      </c>
      <c r="H50" s="19" t="str">
        <f aca="true">IF(A50="","",IF(TODAY()&gt;=G50,"osvobozeno ✓","ještě "&amp;TEXT(G50-TODAY(),"0")&amp;" dní"))</f>
        <v/>
      </c>
    </row>
    <row r="51" customFormat="false" ht="15" hidden="false" customHeight="false" outlineLevel="0" collapsed="false">
      <c r="A51" s="21"/>
      <c r="B51" s="22"/>
      <c r="C51" s="22"/>
      <c r="D51" s="22"/>
      <c r="E51" s="23"/>
      <c r="F51" s="24" t="str">
        <f aca="false">IF(OR(D51="",E51=""),"",D51*E51)</f>
        <v/>
      </c>
      <c r="G51" s="25" t="str">
        <f aca="false">IF(A51="","",EDATE(A51,36))</f>
        <v/>
      </c>
      <c r="H51" s="19" t="str">
        <f aca="true">IF(A51="","",IF(TODAY()&gt;=G51,"osvobozeno ✓","ještě "&amp;TEXT(G51-TODAY(),"0")&amp;" dní"))</f>
        <v/>
      </c>
    </row>
    <row r="52" customFormat="false" ht="15" hidden="false" customHeight="false" outlineLevel="0" collapsed="false">
      <c r="A52" s="21"/>
      <c r="B52" s="22"/>
      <c r="C52" s="22"/>
      <c r="D52" s="22"/>
      <c r="E52" s="23"/>
      <c r="F52" s="24" t="str">
        <f aca="false">IF(OR(D52="",E52=""),"",D52*E52)</f>
        <v/>
      </c>
      <c r="G52" s="25" t="str">
        <f aca="false">IF(A52="","",EDATE(A52,36))</f>
        <v/>
      </c>
      <c r="H52" s="19" t="str">
        <f aca="true">IF(A52="","",IF(TODAY()&gt;=G52,"osvobozeno ✓","ještě "&amp;TEXT(G52-TODAY(),"0")&amp;" dní"))</f>
        <v/>
      </c>
    </row>
    <row r="53" customFormat="false" ht="15" hidden="false" customHeight="false" outlineLevel="0" collapsed="false">
      <c r="A53" s="21"/>
      <c r="B53" s="22"/>
      <c r="C53" s="22"/>
      <c r="D53" s="22"/>
      <c r="E53" s="23"/>
      <c r="F53" s="24" t="str">
        <f aca="false">IF(OR(D53="",E53=""),"",D53*E53)</f>
        <v/>
      </c>
      <c r="G53" s="25" t="str">
        <f aca="false">IF(A53="","",EDATE(A53,36))</f>
        <v/>
      </c>
      <c r="H53" s="19" t="str">
        <f aca="true">IF(A53="","",IF(TODAY()&gt;=G53,"osvobozeno ✓","ještě "&amp;TEXT(G53-TODAY(),"0")&amp;" dní"))</f>
        <v/>
      </c>
    </row>
    <row r="54" customFormat="false" ht="15" hidden="false" customHeight="false" outlineLevel="0" collapsed="false">
      <c r="A54" s="21"/>
      <c r="B54" s="22"/>
      <c r="C54" s="22"/>
      <c r="D54" s="22"/>
      <c r="E54" s="23"/>
      <c r="F54" s="24" t="str">
        <f aca="false">IF(OR(D54="",E54=""),"",D54*E54)</f>
        <v/>
      </c>
      <c r="G54" s="25" t="str">
        <f aca="false">IF(A54="","",EDATE(A54,36))</f>
        <v/>
      </c>
      <c r="H54" s="19" t="str">
        <f aca="true">IF(A54="","",IF(TODAY()&gt;=G54,"osvobozeno ✓","ještě "&amp;TEXT(G54-TODAY(),"0")&amp;" dní"))</f>
        <v/>
      </c>
    </row>
    <row r="57" customFormat="false" ht="15" hidden="false" customHeight="false" outlineLevel="0" collapsed="false">
      <c r="E57" s="8" t="s">
        <v>114</v>
      </c>
      <c r="F57" s="26" t="n">
        <f aca="false">SUM(F5:F54)</f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2026-10-14T10:08:20Z</dcterms:created>
  <dc:creator>openpyxl</dc:creator>
  <dc:description/>
  <dc:language>en-US</dc:language>
  <cp:lastModifiedBy/>
  <dcterms:modified xsi:type="dcterms:W3CDTF">2026-10-14T10:08:22Z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